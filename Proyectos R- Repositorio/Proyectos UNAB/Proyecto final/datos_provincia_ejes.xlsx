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668d9d35f937d8/Escritorio/tp final bases/"/>
    </mc:Choice>
  </mc:AlternateContent>
  <xr:revisionPtr revIDLastSave="2" documentId="8_{F2234351-606F-487F-8A57-F72C60DAF1B3}" xr6:coauthVersionLast="47" xr6:coauthVersionMax="47" xr10:uidLastSave="{74DE626F-580C-4DE9-BC3D-8A38E7981D94}"/>
  <bookViews>
    <workbookView xWindow="24" yWindow="24" windowWidth="23016" windowHeight="12216" xr2:uid="{DA298AEC-CA90-46AC-AF6A-E51F37F829F8}"/>
  </bookViews>
  <sheets>
    <sheet name="Hoja4" sheetId="4" r:id="rId1"/>
    <sheet name="Hoja2" sheetId="2" r:id="rId2"/>
    <sheet name="Hoja1" sheetId="1" r:id="rId3"/>
    <sheet name="Hoja3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" i="4" l="1"/>
  <c r="AS11" i="4"/>
  <c r="AS9" i="4"/>
  <c r="AS8" i="4"/>
  <c r="AQ10" i="4"/>
  <c r="AQ5" i="4"/>
  <c r="AQ3" i="4"/>
  <c r="AQ2" i="4"/>
  <c r="AO8" i="4"/>
  <c r="AO7" i="4"/>
  <c r="AO5" i="4"/>
  <c r="AO4" i="4"/>
  <c r="AM11" i="4"/>
  <c r="AM10" i="4"/>
  <c r="AM9" i="4"/>
  <c r="AM8" i="4"/>
  <c r="AM7" i="4"/>
  <c r="AM6" i="4"/>
  <c r="AM3" i="4"/>
  <c r="AM2" i="4"/>
  <c r="AK11" i="4"/>
  <c r="AK10" i="4"/>
  <c r="AK9" i="4"/>
  <c r="AK8" i="4"/>
  <c r="AK6" i="4"/>
  <c r="AK5" i="4"/>
  <c r="AK4" i="4"/>
  <c r="AK3" i="4"/>
  <c r="AK2" i="4"/>
  <c r="AI3" i="4"/>
  <c r="AI2" i="4"/>
  <c r="AE9" i="4"/>
  <c r="AE7" i="4"/>
  <c r="AE6" i="4"/>
  <c r="AE2" i="4"/>
  <c r="AC4" i="4"/>
  <c r="AC3" i="4"/>
  <c r="AA11" i="4"/>
  <c r="AA10" i="4"/>
  <c r="AA6" i="4"/>
  <c r="AA2" i="4"/>
  <c r="Y8" i="4"/>
  <c r="Y7" i="4"/>
  <c r="Y6" i="4"/>
  <c r="Y5" i="4"/>
  <c r="Y4" i="4"/>
  <c r="W11" i="4"/>
  <c r="W10" i="4"/>
  <c r="W9" i="4"/>
  <c r="W8" i="4"/>
  <c r="W7" i="4"/>
  <c r="W6" i="4"/>
  <c r="W3" i="4"/>
  <c r="W2" i="4"/>
  <c r="U11" i="4"/>
  <c r="U10" i="4"/>
  <c r="U9" i="4"/>
  <c r="U8" i="4"/>
  <c r="U6" i="4"/>
  <c r="U5" i="4"/>
  <c r="U4" i="4"/>
  <c r="U3" i="4"/>
  <c r="U2" i="4"/>
  <c r="S3" i="4"/>
  <c r="S2" i="4"/>
  <c r="O10" i="4"/>
  <c r="O9" i="4"/>
  <c r="O8" i="4"/>
  <c r="M11" i="4"/>
  <c r="M10" i="4"/>
  <c r="M9" i="4"/>
  <c r="M8" i="4"/>
  <c r="M4" i="4"/>
  <c r="K11" i="4"/>
  <c r="K10" i="4"/>
  <c r="K6" i="4"/>
  <c r="K5" i="4"/>
  <c r="K4" i="4"/>
  <c r="K3" i="4"/>
  <c r="I8" i="4"/>
  <c r="I7" i="4"/>
  <c r="I6" i="4"/>
  <c r="I5" i="4"/>
  <c r="I4" i="4"/>
  <c r="G11" i="4"/>
  <c r="G10" i="4"/>
  <c r="G9" i="4"/>
  <c r="G8" i="4"/>
  <c r="G7" i="4"/>
  <c r="G6" i="4"/>
  <c r="G3" i="4"/>
  <c r="G2" i="4"/>
  <c r="E11" i="4"/>
  <c r="E10" i="4"/>
  <c r="E9" i="4"/>
  <c r="E8" i="4"/>
  <c r="E6" i="4"/>
  <c r="E5" i="4"/>
  <c r="E4" i="4"/>
  <c r="E3" i="4"/>
  <c r="E2" i="4"/>
  <c r="C11" i="4"/>
  <c r="D11" i="4"/>
  <c r="E7" i="4" s="1"/>
  <c r="F11" i="4"/>
  <c r="G5" i="4" s="1"/>
  <c r="H11" i="4"/>
  <c r="I11" i="4" s="1"/>
  <c r="J11" i="4"/>
  <c r="L11" i="4"/>
  <c r="N11" i="4"/>
  <c r="P11" i="4"/>
  <c r="R11" i="4"/>
  <c r="T11" i="4"/>
  <c r="U7" i="4" s="1"/>
  <c r="V11" i="4"/>
  <c r="W5" i="4" s="1"/>
  <c r="X11" i="4"/>
  <c r="Y11" i="4" s="1"/>
  <c r="Z11" i="4"/>
  <c r="AB11" i="4"/>
  <c r="AD11" i="4"/>
  <c r="AF11" i="4"/>
  <c r="AH11" i="4"/>
  <c r="AJ11" i="4"/>
  <c r="AK7" i="4" s="1"/>
  <c r="AL11" i="4"/>
  <c r="AM5" i="4" s="1"/>
  <c r="AN11" i="4"/>
  <c r="AO11" i="4" s="1"/>
  <c r="AP11" i="4"/>
  <c r="AR11" i="4"/>
  <c r="AT11" i="4"/>
  <c r="AV11" i="4"/>
  <c r="B11" i="4"/>
  <c r="C9" i="4" l="1"/>
  <c r="C8" i="4"/>
  <c r="C7" i="4"/>
  <c r="AI9" i="4"/>
  <c r="AI8" i="4"/>
  <c r="AI7" i="4"/>
  <c r="AI6" i="4"/>
  <c r="AI4" i="4"/>
  <c r="S9" i="4"/>
  <c r="S8" i="4"/>
  <c r="S7" i="4"/>
  <c r="C2" i="4"/>
  <c r="S4" i="4"/>
  <c r="AI5" i="4"/>
  <c r="AW3" i="4"/>
  <c r="AW5" i="4"/>
  <c r="AW2" i="4"/>
  <c r="AW4" i="4"/>
  <c r="AW11" i="4"/>
  <c r="AW10" i="4"/>
  <c r="AW9" i="4"/>
  <c r="AW8" i="4"/>
  <c r="AG11" i="4"/>
  <c r="AG3" i="4"/>
  <c r="AG10" i="4"/>
  <c r="AG2" i="4"/>
  <c r="AG9" i="4"/>
  <c r="AG8" i="4"/>
  <c r="AG6" i="4"/>
  <c r="Q11" i="4"/>
  <c r="Q3" i="4"/>
  <c r="Q10" i="4"/>
  <c r="Q2" i="4"/>
  <c r="Q9" i="4"/>
  <c r="C3" i="4"/>
  <c r="Q4" i="4"/>
  <c r="S5" i="4"/>
  <c r="AI10" i="4"/>
  <c r="AU5" i="4"/>
  <c r="AU4" i="4"/>
  <c r="AU11" i="4"/>
  <c r="AU3" i="4"/>
  <c r="AU10" i="4"/>
  <c r="AU2" i="4"/>
  <c r="AU8" i="4"/>
  <c r="AE5" i="4"/>
  <c r="AE4" i="4"/>
  <c r="AE11" i="4"/>
  <c r="AE3" i="4"/>
  <c r="AE8" i="4"/>
  <c r="O5" i="4"/>
  <c r="O4" i="4"/>
  <c r="O11" i="4"/>
  <c r="O3" i="4"/>
  <c r="C4" i="4"/>
  <c r="Q5" i="4"/>
  <c r="S6" i="4"/>
  <c r="AE10" i="4"/>
  <c r="AI11" i="4"/>
  <c r="AU7" i="4"/>
  <c r="AS7" i="4"/>
  <c r="AS6" i="4"/>
  <c r="AS5" i="4"/>
  <c r="AS4" i="4"/>
  <c r="AS10" i="4"/>
  <c r="AS2" i="4"/>
  <c r="AC7" i="4"/>
  <c r="AC6" i="4"/>
  <c r="AC5" i="4"/>
  <c r="AC10" i="4"/>
  <c r="AC2" i="4"/>
  <c r="M7" i="4"/>
  <c r="M6" i="4"/>
  <c r="M5" i="4"/>
  <c r="C5" i="4"/>
  <c r="O2" i="4"/>
  <c r="Q6" i="4"/>
  <c r="S10" i="4"/>
  <c r="AC8" i="4"/>
  <c r="AG4" i="4"/>
  <c r="AU9" i="4"/>
  <c r="AQ9" i="4"/>
  <c r="AQ8" i="4"/>
  <c r="AQ7" i="4"/>
  <c r="AQ6" i="4"/>
  <c r="AQ4" i="4"/>
  <c r="AA9" i="4"/>
  <c r="AA8" i="4"/>
  <c r="AA7" i="4"/>
  <c r="AA4" i="4"/>
  <c r="K9" i="4"/>
  <c r="K8" i="4"/>
  <c r="K7" i="4"/>
  <c r="C6" i="4"/>
  <c r="M2" i="4"/>
  <c r="O6" i="4"/>
  <c r="Q7" i="4"/>
  <c r="S11" i="4"/>
  <c r="AA3" i="4"/>
  <c r="AC9" i="4"/>
  <c r="AG5" i="4"/>
  <c r="AQ11" i="4"/>
  <c r="AW6" i="4"/>
  <c r="C10" i="4"/>
  <c r="K2" i="4"/>
  <c r="M3" i="4"/>
  <c r="O7" i="4"/>
  <c r="Q8" i="4"/>
  <c r="AA5" i="4"/>
  <c r="AC11" i="4"/>
  <c r="AG7" i="4"/>
  <c r="AS3" i="4"/>
  <c r="AW7" i="4"/>
  <c r="AO6" i="4"/>
  <c r="I9" i="4"/>
  <c r="Y9" i="4"/>
  <c r="AO9" i="4"/>
  <c r="G4" i="4"/>
  <c r="I2" i="4"/>
  <c r="I10" i="4"/>
  <c r="W4" i="4"/>
  <c r="Y2" i="4"/>
  <c r="Y10" i="4"/>
  <c r="AM4" i="4"/>
  <c r="AO2" i="4"/>
  <c r="AO10" i="4"/>
  <c r="I3" i="4"/>
  <c r="Y3" i="4"/>
  <c r="AO3" i="4"/>
</calcChain>
</file>

<file path=xl/sharedStrings.xml><?xml version="1.0" encoding="utf-8"?>
<sst xmlns="http://schemas.openxmlformats.org/spreadsheetml/2006/main" count="1863" uniqueCount="276">
  <si>
    <t>nombre_punto_digital</t>
  </si>
  <si>
    <t>eje</t>
  </si>
  <si>
    <t>eje_id</t>
  </si>
  <si>
    <t>hasta_11</t>
  </si>
  <si>
    <t>hasta_11_femenino</t>
  </si>
  <si>
    <t>hasta_11_masculino</t>
  </si>
  <si>
    <t>hasta_11_x</t>
  </si>
  <si>
    <t>de_12_a_20</t>
  </si>
  <si>
    <t>de_12_a_20_femenino</t>
  </si>
  <si>
    <t>de_12_a_20_masculino</t>
  </si>
  <si>
    <t>de_12_a_20_x</t>
  </si>
  <si>
    <t>de_21_a_65</t>
  </si>
  <si>
    <t>de_21_a_65_femenino</t>
  </si>
  <si>
    <t>de_21_a_65_masculino</t>
  </si>
  <si>
    <t>de_21_a_65_x</t>
  </si>
  <si>
    <t>desde_65</t>
  </si>
  <si>
    <t>desde_65_femenino</t>
  </si>
  <si>
    <t>desde_65_masculino</t>
  </si>
  <si>
    <t>desde_65_x</t>
  </si>
  <si>
    <t>Totales</t>
  </si>
  <si>
    <t>provincia</t>
  </si>
  <si>
    <t>categoria</t>
  </si>
  <si>
    <t>subcategoria</t>
  </si>
  <si>
    <t>cantidad_actividad</t>
  </si>
  <si>
    <t>Zárate III (Universidad Popular)</t>
  </si>
  <si>
    <t>Capacitaciones PPD</t>
  </si>
  <si>
    <t>Buenos Aires</t>
  </si>
  <si>
    <t>Contenidos</t>
  </si>
  <si>
    <t>NA</t>
  </si>
  <si>
    <t>Cultura y Entretenimiento</t>
  </si>
  <si>
    <t>Uso Libre</t>
  </si>
  <si>
    <t>Navegación libre</t>
  </si>
  <si>
    <t>Zárate II (Lima Centro Cultural)</t>
  </si>
  <si>
    <t>Alfabetización Digital</t>
  </si>
  <si>
    <t>Paquete de Office o LibreOffice</t>
  </si>
  <si>
    <t>Ciudadanía y DD</t>
  </si>
  <si>
    <t>Comunidad</t>
  </si>
  <si>
    <t>Otros</t>
  </si>
  <si>
    <t>Trámites</t>
  </si>
  <si>
    <t>Trámites Nacionales</t>
  </si>
  <si>
    <t>AFIP</t>
  </si>
  <si>
    <t>Zapala</t>
  </si>
  <si>
    <t>Neuquén</t>
  </si>
  <si>
    <t>Soporte</t>
  </si>
  <si>
    <t>Educación</t>
  </si>
  <si>
    <t>Complementos de la educación formal</t>
  </si>
  <si>
    <t>Formación Laboral</t>
  </si>
  <si>
    <t>Inserción al mundo laboral</t>
  </si>
  <si>
    <t>Armado de CV</t>
  </si>
  <si>
    <t>Yerba Buena</t>
  </si>
  <si>
    <t>Tucumán</t>
  </si>
  <si>
    <t>Yavi</t>
  </si>
  <si>
    <t>Jujuy</t>
  </si>
  <si>
    <t>Villa San Isidro</t>
  </si>
  <si>
    <t>Córdoba</t>
  </si>
  <si>
    <t>Actividad</t>
  </si>
  <si>
    <t>Actividad con uso de consola de videojuegos</t>
  </si>
  <si>
    <t>Validación de identidad</t>
  </si>
  <si>
    <t>Entre Ríos</t>
  </si>
  <si>
    <t>Trámites Municipales</t>
  </si>
  <si>
    <t>MUNICIPIO</t>
  </si>
  <si>
    <t>Proyección de película (con debate)</t>
  </si>
  <si>
    <t>Generos y Diversidades</t>
  </si>
  <si>
    <t>Artes</t>
  </si>
  <si>
    <t>Comunicación</t>
  </si>
  <si>
    <t>Uso libre de la consola de videojuegos</t>
  </si>
  <si>
    <t>ANSES</t>
  </si>
  <si>
    <t>Alfabetización Digital Inicial</t>
  </si>
  <si>
    <t>Oficios digitales</t>
  </si>
  <si>
    <t>Programación</t>
  </si>
  <si>
    <t>Oficios manuales</t>
  </si>
  <si>
    <t>Otras</t>
  </si>
  <si>
    <t>Música</t>
  </si>
  <si>
    <t>Río Negro</t>
  </si>
  <si>
    <t>Salud</t>
  </si>
  <si>
    <t>Ciudadanía y Derechos Humanos</t>
  </si>
  <si>
    <t>FINES</t>
  </si>
  <si>
    <t>Capacitación a agentes municipales</t>
  </si>
  <si>
    <t>PROGRESAR</t>
  </si>
  <si>
    <t>Artes digitales</t>
  </si>
  <si>
    <t>MiArgentina</t>
  </si>
  <si>
    <t>Seguridad vial</t>
  </si>
  <si>
    <t>Trámites Provinciales</t>
  </si>
  <si>
    <t>Talleres País Digital</t>
  </si>
  <si>
    <t>Punto Carnaval</t>
  </si>
  <si>
    <t>Tecnologías de la vida cotidiana</t>
  </si>
  <si>
    <t>Cajero automático</t>
  </si>
  <si>
    <t>Diseño gráfico</t>
  </si>
  <si>
    <t>Yuto</t>
  </si>
  <si>
    <t>Apoyo escolar</t>
  </si>
  <si>
    <t>Potenciar Trabajo</t>
  </si>
  <si>
    <t>Realidad Aumentada</t>
  </si>
  <si>
    <t>Vinculación</t>
  </si>
  <si>
    <t>Deportes electrónicos</t>
  </si>
  <si>
    <t>Etiquetas de columna</t>
  </si>
  <si>
    <t>Total general</t>
  </si>
  <si>
    <t>Etiquetas de fila</t>
  </si>
  <si>
    <t>Cuenta de eje</t>
  </si>
  <si>
    <t>Escritorio PC</t>
  </si>
  <si>
    <t>Efeméride</t>
  </si>
  <si>
    <t>Yala</t>
  </si>
  <si>
    <t>Uso de correo electrónico</t>
  </si>
  <si>
    <t>Taller de Compost</t>
  </si>
  <si>
    <t>Villarino</t>
  </si>
  <si>
    <t>Robótica para niñxs</t>
  </si>
  <si>
    <t>Villaguay</t>
  </si>
  <si>
    <t>Gestión y prevención COVID</t>
  </si>
  <si>
    <t>Villa Regina</t>
  </si>
  <si>
    <t>Showing 1 to 28 of 14,773 entries, 24 total columns</t>
  </si>
  <si>
    <t>(en blanco)</t>
  </si>
  <si>
    <t>EJE</t>
  </si>
  <si>
    <t>FRECUENCIA</t>
  </si>
  <si>
    <t>PORCENTAJE</t>
  </si>
  <si>
    <t>BUENOS AIRES</t>
  </si>
  <si>
    <t>Alfabetización Digital</t>
  </si>
  <si>
    <t>3.5%</t>
  </si>
  <si>
    <t>Capacitaciones PPD</t>
  </si>
  <si>
    <t>1.442 </t>
  </si>
  <si>
    <t>Ciudadanía y DD</t>
  </si>
  <si>
    <t>2.593 </t>
  </si>
  <si>
    <t>Cultura y Entretenimiento</t>
  </si>
  <si>
    <t>4.021 </t>
  </si>
  <si>
    <t>3.263 </t>
  </si>
  <si>
    <t>Formación Laboral</t>
  </si>
  <si>
    <t>2.802 </t>
  </si>
  <si>
    <t>Generos y Diversidades</t>
  </si>
  <si>
    <t>0.623 </t>
  </si>
  <si>
    <t>1.665 </t>
  </si>
  <si>
    <t>5.327 </t>
  </si>
  <si>
    <t>CATAMARCA</t>
  </si>
  <si>
    <t>0.196 </t>
  </si>
  <si>
    <t>0.230 </t>
  </si>
  <si>
    <t>0.250 </t>
  </si>
  <si>
    <t>0.481 </t>
  </si>
  <si>
    <t>0.386 </t>
  </si>
  <si>
    <t>0.325 </t>
  </si>
  <si>
    <t>0.020 </t>
  </si>
  <si>
    <t>0.149 </t>
  </si>
  <si>
    <t>0.433 </t>
  </si>
  <si>
    <t>CHACO</t>
  </si>
  <si>
    <t>0.122 </t>
  </si>
  <si>
    <t>0.237 </t>
  </si>
  <si>
    <t>0.454 </t>
  </si>
  <si>
    <t>0.345 </t>
  </si>
  <si>
    <t>0.081 </t>
  </si>
  <si>
    <t>0.650 </t>
  </si>
  <si>
    <t>CHUBUT</t>
  </si>
  <si>
    <t>0.420 </t>
  </si>
  <si>
    <t>0.223 </t>
  </si>
  <si>
    <t>0.535 </t>
  </si>
  <si>
    <t>0.311 </t>
  </si>
  <si>
    <t>0.426 </t>
  </si>
  <si>
    <t>0.102 </t>
  </si>
  <si>
    <t>0.163 </t>
  </si>
  <si>
    <t>0.589 </t>
  </si>
  <si>
    <t>CIUDAD AUTÓNOMA DE BUENOS AIRES</t>
  </si>
  <si>
    <t>0.135 </t>
  </si>
  <si>
    <t>0.271 </t>
  </si>
  <si>
    <t>0.291 </t>
  </si>
  <si>
    <t>0.013 </t>
  </si>
  <si>
    <t>0.061 </t>
  </si>
  <si>
    <t>0.176 </t>
  </si>
  <si>
    <t>CÓRDOBA</t>
  </si>
  <si>
    <t>1.029 </t>
  </si>
  <si>
    <t>0.731 </t>
  </si>
  <si>
    <t>1.042 </t>
  </si>
  <si>
    <t>2.511 </t>
  </si>
  <si>
    <t>1.212 </t>
  </si>
  <si>
    <t>0.183 </t>
  </si>
  <si>
    <t>2.829 </t>
  </si>
  <si>
    <t>CORRIENTES</t>
  </si>
  <si>
    <t>0.447 </t>
  </si>
  <si>
    <t>0.278 </t>
  </si>
  <si>
    <t>0.460 </t>
  </si>
  <si>
    <t>0.860 </t>
  </si>
  <si>
    <t>0.609 </t>
  </si>
  <si>
    <t>0.352 </t>
  </si>
  <si>
    <t>0.041 </t>
  </si>
  <si>
    <t>0.914 </t>
  </si>
  <si>
    <t>ENTRE RÍOS</t>
  </si>
  <si>
    <t>0.616 </t>
  </si>
  <si>
    <t>0.203 </t>
  </si>
  <si>
    <t>0.562 </t>
  </si>
  <si>
    <t>0.975 </t>
  </si>
  <si>
    <t>0.724 </t>
  </si>
  <si>
    <t>0.684 </t>
  </si>
  <si>
    <t>0.332 </t>
  </si>
  <si>
    <t>0.934 </t>
  </si>
  <si>
    <t>FORMOSA</t>
  </si>
  <si>
    <t>0.474 </t>
  </si>
  <si>
    <t>0.156 </t>
  </si>
  <si>
    <t>0.074 </t>
  </si>
  <si>
    <t>JUJUY</t>
  </si>
  <si>
    <t>0.575 </t>
  </si>
  <si>
    <t>0.846 </t>
  </si>
  <si>
    <t>0.839 </t>
  </si>
  <si>
    <t>0.440 </t>
  </si>
  <si>
    <t>0.088 </t>
  </si>
  <si>
    <t>0.629 </t>
  </si>
  <si>
    <t>LA PAMPA</t>
  </si>
  <si>
    <t>0.115 </t>
  </si>
  <si>
    <t>0.108 </t>
  </si>
  <si>
    <t>0.047 </t>
  </si>
  <si>
    <t>LA RIOJA</t>
  </si>
  <si>
    <t>0.190 </t>
  </si>
  <si>
    <t>0.372 </t>
  </si>
  <si>
    <t>0.217 </t>
  </si>
  <si>
    <t>0.007 </t>
  </si>
  <si>
    <t>0.501 </t>
  </si>
  <si>
    <t>MENDOZA</t>
  </si>
  <si>
    <t>0.393 </t>
  </si>
  <si>
    <t>0.528 </t>
  </si>
  <si>
    <t>0.569 </t>
  </si>
  <si>
    <t>MISIONES</t>
  </si>
  <si>
    <t>0.413 </t>
  </si>
  <si>
    <t>0.670 </t>
  </si>
  <si>
    <t>0.359 </t>
  </si>
  <si>
    <t>0.054 </t>
  </si>
  <si>
    <t>0.833 </t>
  </si>
  <si>
    <t>NEUQUÉN</t>
  </si>
  <si>
    <t>0.284 </t>
  </si>
  <si>
    <t>RÍO NEGRO</t>
  </si>
  <si>
    <t>0.210 </t>
  </si>
  <si>
    <t>0.399 </t>
  </si>
  <si>
    <t>0.636 </t>
  </si>
  <si>
    <t>SALTA</t>
  </si>
  <si>
    <t>0.467 </t>
  </si>
  <si>
    <t>0.819 </t>
  </si>
  <si>
    <t>0.751 </t>
  </si>
  <si>
    <t>0.514 </t>
  </si>
  <si>
    <t>0.068 </t>
  </si>
  <si>
    <t>SAN JUAN</t>
  </si>
  <si>
    <t>SAN LUIS</t>
  </si>
  <si>
    <t>0.379 </t>
  </si>
  <si>
    <t>0.027 </t>
  </si>
  <si>
    <t>SANTA CRUZ</t>
  </si>
  <si>
    <t>SANTA FE</t>
  </si>
  <si>
    <t>1.164 </t>
  </si>
  <si>
    <t>0.900 </t>
  </si>
  <si>
    <t>1.510 </t>
  </si>
  <si>
    <t>1.103 </t>
  </si>
  <si>
    <t>1.936 </t>
  </si>
  <si>
    <t>SANTIAGO DEL ESTERO</t>
  </si>
  <si>
    <t>0.129 </t>
  </si>
  <si>
    <t>0.244 </t>
  </si>
  <si>
    <t>0.298 </t>
  </si>
  <si>
    <t>TIERRA DEL FUEGO</t>
  </si>
  <si>
    <t>0.034 </t>
  </si>
  <si>
    <t>TUCUMÁN</t>
  </si>
  <si>
    <t>0.318 </t>
  </si>
  <si>
    <t>Total_provincial</t>
  </si>
  <si>
    <t>BUENOS AIRES_</t>
  </si>
  <si>
    <t>CATAMARCA_</t>
  </si>
  <si>
    <t>CHACO_</t>
  </si>
  <si>
    <t>CHUBUT_</t>
  </si>
  <si>
    <t>CIUDAD AUTÓNOMA DE BUENOS AIRES_</t>
  </si>
  <si>
    <t>CÓRDOBA_</t>
  </si>
  <si>
    <t>CORRIENTES_</t>
  </si>
  <si>
    <t>ENTRE RÍOS_</t>
  </si>
  <si>
    <t>FORMOSA_</t>
  </si>
  <si>
    <t>JUJUY_</t>
  </si>
  <si>
    <t>LA PAMPA_</t>
  </si>
  <si>
    <t>LA RIOJA_</t>
  </si>
  <si>
    <t>MENDOZA_</t>
  </si>
  <si>
    <t>MISIONES_</t>
  </si>
  <si>
    <t>NEUQUÉN_</t>
  </si>
  <si>
    <t>RÍO NEGRO_</t>
  </si>
  <si>
    <t>SALTA_</t>
  </si>
  <si>
    <t>SAN JUAN_</t>
  </si>
  <si>
    <t>SAN LUIS_</t>
  </si>
  <si>
    <t>SANTA CRUZ_</t>
  </si>
  <si>
    <t>SANTA FE_</t>
  </si>
  <si>
    <t>SANTIAGO DEL ESTERO_</t>
  </si>
  <si>
    <t>TIERRA DEL FUEGO_</t>
  </si>
  <si>
    <t>TUCUMÁN_</t>
  </si>
  <si>
    <t>EJES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</si>
</sst>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7"/>
      <color rgb="FFFFFFFF"/>
      <name val="Segoe UI"/>
      <family val="2"/>
    </font>
    <font>
      <sz val="7"/>
      <color rgb="FFFFFFFF"/>
      <name val="Segoe UI"/>
      <family val="2"/>
    </font>
    <font>
      <sz val="7"/>
      <color theme="1"/>
      <name val="Segoe UI"/>
      <family val="2"/>
    </font>
    <font>
      <i/>
      <sz val="7"/>
      <color rgb="FFB0B0B0"/>
      <name val="Segoe UI"/>
      <family val="2"/>
    </font>
    <font>
      <b/>
      <sz val="8"/>
      <color rgb="FF333333"/>
      <name val="Segoe UI"/>
      <family val="2"/>
    </font>
    <font>
      <sz val="10"/>
      <color rgb="FF333333"/>
      <name val="Segoe UI"/>
      <family val="2"/>
    </font>
    <font>
      <sz val="10"/>
      <color rgb="FF333333"/>
      <name val="Fira Mono"/>
    </font>
    <font>
      <sz val="10"/>
      <color rgb="FF333333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E5C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 style="medium">
        <color rgb="FF0C1F30"/>
      </right>
      <top/>
      <bottom/>
      <diagonal/>
    </border>
    <border>
      <left/>
      <right/>
      <top style="medium">
        <color rgb="FF0C1F30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/>
      <top style="medium">
        <color rgb="FFF6F7F7"/>
      </top>
      <bottom/>
      <diagonal/>
    </border>
    <border>
      <left/>
      <right/>
      <top style="thick">
        <color rgb="FFFFFFFF"/>
      </top>
      <bottom/>
      <diagonal/>
    </border>
    <border>
      <left/>
      <right/>
      <top style="medium">
        <color rgb="FFF6F7F7"/>
      </top>
      <bottom style="medium">
        <color rgb="FFA8A8A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6" fillId="3" borderId="5" xfId="0" applyFont="1" applyFill="1" applyBorder="1" applyAlignment="1">
      <alignment horizontal="left" vertical="center" wrapText="1" indent="1"/>
    </xf>
    <xf numFmtId="0" fontId="6" fillId="3" borderId="5" xfId="0" applyFont="1" applyFill="1" applyBorder="1" applyAlignment="1">
      <alignment horizontal="right" vertical="center" wrapText="1" indent="1"/>
    </xf>
    <xf numFmtId="0" fontId="7" fillId="3" borderId="5" xfId="0" applyFont="1" applyFill="1" applyBorder="1" applyAlignment="1">
      <alignment horizontal="right" vertical="center" wrapText="1" indent="1"/>
    </xf>
    <xf numFmtId="0" fontId="6" fillId="4" borderId="5" xfId="0" applyFont="1" applyFill="1" applyBorder="1" applyAlignment="1">
      <alignment horizontal="left" vertical="center" wrapText="1" indent="1"/>
    </xf>
    <xf numFmtId="0" fontId="6" fillId="4" borderId="5" xfId="0" applyFont="1" applyFill="1" applyBorder="1" applyAlignment="1">
      <alignment horizontal="right" vertical="center" wrapText="1" indent="1"/>
    </xf>
    <xf numFmtId="0" fontId="7" fillId="4" borderId="5" xfId="0" applyFont="1" applyFill="1" applyBorder="1" applyAlignment="1">
      <alignment horizontal="right" vertical="center" wrapText="1" indent="1"/>
    </xf>
    <xf numFmtId="0" fontId="5" fillId="3" borderId="6" xfId="0" applyFont="1" applyFill="1" applyBorder="1" applyAlignment="1">
      <alignment horizontal="left" wrapText="1"/>
    </xf>
    <xf numFmtId="0" fontId="5" fillId="3" borderId="6" xfId="0" applyFont="1" applyFill="1" applyBorder="1" applyAlignment="1">
      <alignment horizontal="right" wrapText="1"/>
    </xf>
    <xf numFmtId="0" fontId="6" fillId="4" borderId="7" xfId="0" applyFont="1" applyFill="1" applyBorder="1" applyAlignment="1">
      <alignment horizontal="left" vertical="center" wrapText="1" indent="1"/>
    </xf>
    <xf numFmtId="0" fontId="6" fillId="4" borderId="7" xfId="0" applyFont="1" applyFill="1" applyBorder="1" applyAlignment="1">
      <alignment horizontal="right" vertical="center" wrapText="1" indent="1"/>
    </xf>
    <xf numFmtId="0" fontId="7" fillId="4" borderId="7" xfId="0" applyFont="1" applyFill="1" applyBorder="1" applyAlignment="1">
      <alignment horizontal="right" vertical="center" wrapText="1" indent="1"/>
    </xf>
    <xf numFmtId="0" fontId="5" fillId="3" borderId="4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left" vertical="center" wrapText="1" indent="1"/>
    </xf>
    <xf numFmtId="0" fontId="8" fillId="3" borderId="5" xfId="0" applyFont="1" applyFill="1" applyBorder="1" applyAlignment="1">
      <alignment horizontal="right" vertical="center" wrapText="1" indent="1"/>
    </xf>
    <xf numFmtId="2" fontId="8" fillId="3" borderId="5" xfId="0" applyNumberFormat="1" applyFont="1" applyFill="1" applyBorder="1" applyAlignment="1">
      <alignment horizontal="right" vertical="center" wrapText="1" indent="1"/>
    </xf>
    <xf numFmtId="0" fontId="8" fillId="4" borderId="5" xfId="0" applyFont="1" applyFill="1" applyBorder="1" applyAlignment="1">
      <alignment horizontal="right" vertical="center" wrapText="1" indent="1"/>
    </xf>
    <xf numFmtId="0" fontId="8" fillId="4" borderId="5" xfId="0" applyFont="1" applyFill="1" applyBorder="1" applyAlignment="1">
      <alignment horizontal="left" vertical="center" wrapText="1" indent="1"/>
    </xf>
    <xf numFmtId="0" fontId="9" fillId="0" borderId="0" xfId="0" applyFont="1"/>
    <xf numFmtId="0" fontId="8" fillId="4" borderId="7" xfId="0" applyFont="1" applyFill="1" applyBorder="1" applyAlignment="1">
      <alignment horizontal="right" vertical="center" wrapText="1" indent="1"/>
    </xf>
    <xf numFmtId="0" fontId="8" fillId="4" borderId="0" xfId="0" applyFont="1" applyFill="1" applyAlignment="1">
      <alignment horizontal="left" vertical="center" wrapText="1" inden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a Aguirre" refreshedDate="45336.694281018521" createdVersion="8" refreshedVersion="8" minRefreshableVersion="3" recordCount="135" xr:uid="{C64A708E-5DCF-478B-961C-862738A54315}">
  <cacheSource type="worksheet">
    <worksheetSource ref="B1:Y136" sheet="Hoja1"/>
  </cacheSource>
  <cacheFields count="24">
    <cacheField name="nombre_punto_digital" numFmtId="0">
      <sharedItems containsBlank="1"/>
    </cacheField>
    <cacheField name="eje" numFmtId="0">
      <sharedItems containsBlank="1" count="9">
        <m/>
        <s v="Capacitaciones PPD"/>
        <s v="Cultura y Entretenimiento"/>
        <s v="Educación"/>
        <s v="Trámites"/>
        <s v="Alfabetización Digital"/>
        <s v="Ciudadanía y DD"/>
        <s v="Formación Laboral"/>
        <s v="Salud"/>
      </sharedItems>
    </cacheField>
    <cacheField name="eje_id" numFmtId="0">
      <sharedItems containsString="0" containsBlank="1" containsNumber="1" containsInteger="1" minValue="10" maxValue="34"/>
    </cacheField>
    <cacheField name="hasta_11" numFmtId="0">
      <sharedItems containsString="0" containsBlank="1" containsNumber="1" containsInteger="1" minValue="0" maxValue="1825"/>
    </cacheField>
    <cacheField name="hasta_11_femenino" numFmtId="0">
      <sharedItems containsString="0" containsBlank="1" containsNumber="1" containsInteger="1" minValue="0" maxValue="1077"/>
    </cacheField>
    <cacheField name="hasta_11_masculino" numFmtId="0">
      <sharedItems containsString="0" containsBlank="1" containsNumber="1" containsInteger="1" minValue="0" maxValue="748"/>
    </cacheField>
    <cacheField name="hasta_11_x" numFmtId="0">
      <sharedItems containsString="0" containsBlank="1" containsNumber="1" containsInteger="1" minValue="0" maxValue="2"/>
    </cacheField>
    <cacheField name="de_12_a_20" numFmtId="0">
      <sharedItems containsString="0" containsBlank="1" containsNumber="1" containsInteger="1" minValue="0" maxValue="3457"/>
    </cacheField>
    <cacheField name="de_12_a_20_femenino" numFmtId="0">
      <sharedItems containsString="0" containsBlank="1" containsNumber="1" containsInteger="1" minValue="0" maxValue="1852"/>
    </cacheField>
    <cacheField name="de_12_a_20_masculino" numFmtId="0">
      <sharedItems containsString="0" containsBlank="1" containsNumber="1" containsInteger="1" minValue="0" maxValue="1615"/>
    </cacheField>
    <cacheField name="de_12_a_20_x" numFmtId="0">
      <sharedItems containsString="0" containsBlank="1" containsNumber="1" containsInteger="1" minValue="0" maxValue="45"/>
    </cacheField>
    <cacheField name="de_21_a_65" numFmtId="0">
      <sharedItems containsString="0" containsBlank="1" containsNumber="1" containsInteger="1" minValue="0" maxValue="5004"/>
    </cacheField>
    <cacheField name="de_21_a_65_femenino" numFmtId="0">
      <sharedItems containsString="0" containsBlank="1" containsNumber="1" containsInteger="1" minValue="0" maxValue="3031"/>
    </cacheField>
    <cacheField name="de_21_a_65_masculino" numFmtId="0">
      <sharedItems containsString="0" containsBlank="1" containsNumber="1" containsInteger="1" minValue="0" maxValue="1973"/>
    </cacheField>
    <cacheField name="de_21_a_65_x" numFmtId="0">
      <sharedItems containsString="0" containsBlank="1" containsNumber="1" containsInteger="1" minValue="0" maxValue="8"/>
    </cacheField>
    <cacheField name="desde_65" numFmtId="0">
      <sharedItems containsString="0" containsBlank="1" containsNumber="1" containsInteger="1" minValue="0" maxValue="3160"/>
    </cacheField>
    <cacheField name="desde_65_femenino" numFmtId="0">
      <sharedItems containsString="0" containsBlank="1" containsNumber="1" containsInteger="1" minValue="0" maxValue="1791"/>
    </cacheField>
    <cacheField name="desde_65_masculino" numFmtId="0">
      <sharedItems containsString="0" containsBlank="1" containsNumber="1" containsInteger="1" minValue="0" maxValue="1369"/>
    </cacheField>
    <cacheField name="desde_65_x" numFmtId="0">
      <sharedItems containsString="0" containsBlank="1" containsNumber="1" containsInteger="1" minValue="0" maxValue="0"/>
    </cacheField>
    <cacheField name="Totales" numFmtId="0">
      <sharedItems containsString="0" containsBlank="1" containsNumber="1" containsInteger="1" minValue="0" maxValue="11764"/>
    </cacheField>
    <cacheField name="provincia" numFmtId="0">
      <sharedItems containsBlank="1" count="5">
        <m/>
        <s v="Buenos Aires"/>
        <s v="Neuquén"/>
        <s v="Jujuy"/>
        <s v="Tucumán"/>
      </sharedItems>
    </cacheField>
    <cacheField name="categoria" numFmtId="0">
      <sharedItems containsBlank="1"/>
    </cacheField>
    <cacheField name="subcategoria" numFmtId="0">
      <sharedItems containsBlank="1"/>
    </cacheField>
    <cacheField name="cantidad_actividad" numFmtId="0">
      <sharedItems containsString="0" containsBlank="1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m/>
    <x v="0"/>
    <m/>
    <m/>
    <m/>
    <m/>
    <m/>
    <m/>
    <m/>
    <m/>
    <m/>
    <m/>
    <m/>
    <m/>
    <m/>
    <m/>
    <m/>
    <m/>
    <m/>
    <m/>
    <x v="0"/>
    <m/>
    <m/>
    <m/>
  </r>
  <r>
    <s v="Zárate III (Universidad Popular)"/>
    <x v="1"/>
    <n v="34"/>
    <n v="0"/>
    <n v="0"/>
    <n v="0"/>
    <n v="0"/>
    <n v="0"/>
    <n v="0"/>
    <n v="0"/>
    <n v="0"/>
    <n v="1"/>
    <n v="1"/>
    <n v="0"/>
    <n v="0"/>
    <n v="0"/>
    <n v="0"/>
    <n v="0"/>
    <n v="0"/>
    <n v="1"/>
    <x v="1"/>
    <s v="Contenidos"/>
    <s v="NA"/>
    <n v="1"/>
  </r>
  <r>
    <s v="Zárate III (Universidad Popular)"/>
    <x v="2"/>
    <n v="31"/>
    <n v="8"/>
    <n v="6"/>
    <n v="2"/>
    <n v="0"/>
    <n v="36"/>
    <n v="20"/>
    <n v="16"/>
    <n v="0"/>
    <n v="28"/>
    <n v="24"/>
    <n v="1"/>
    <n v="3"/>
    <n v="2"/>
    <n v="2"/>
    <n v="0"/>
    <n v="0"/>
    <n v="74"/>
    <x v="1"/>
    <s v="Uso Libre"/>
    <s v="Navegación libre"/>
    <n v="1"/>
  </r>
  <r>
    <s v="Zárate III (Universidad Popular)"/>
    <x v="1"/>
    <n v="34"/>
    <n v="0"/>
    <n v="0"/>
    <n v="0"/>
    <n v="0"/>
    <n v="0"/>
    <n v="0"/>
    <n v="0"/>
    <n v="0"/>
    <n v="3"/>
    <n v="3"/>
    <n v="0"/>
    <n v="0"/>
    <n v="0"/>
    <n v="0"/>
    <n v="0"/>
    <n v="0"/>
    <n v="3"/>
    <x v="1"/>
    <s v="Comunicación"/>
    <s v="NA"/>
    <n v="4"/>
  </r>
  <r>
    <s v="Zárate III (Universidad Popular)"/>
    <x v="3"/>
    <n v="16"/>
    <n v="13"/>
    <n v="5"/>
    <n v="8"/>
    <n v="0"/>
    <n v="5"/>
    <n v="1"/>
    <n v="3"/>
    <n v="1"/>
    <n v="13"/>
    <n v="8"/>
    <n v="5"/>
    <n v="0"/>
    <n v="0"/>
    <n v="0"/>
    <n v="0"/>
    <n v="0"/>
    <n v="31"/>
    <x v="1"/>
    <s v="Complementos de la educación formal"/>
    <s v="FINES"/>
    <n v="1"/>
  </r>
  <r>
    <s v="Zárate III (Universidad Popular)"/>
    <x v="4"/>
    <n v="22"/>
    <n v="0"/>
    <n v="0"/>
    <n v="0"/>
    <n v="0"/>
    <n v="8"/>
    <n v="1"/>
    <n v="7"/>
    <n v="0"/>
    <n v="132"/>
    <n v="70"/>
    <n v="62"/>
    <n v="0"/>
    <n v="2"/>
    <n v="2"/>
    <n v="0"/>
    <n v="0"/>
    <n v="142"/>
    <x v="1"/>
    <s v="Trámites Nacionales"/>
    <s v="MiArgentina"/>
    <n v="2"/>
  </r>
  <r>
    <s v="Zárate III (Universidad Popular)"/>
    <x v="2"/>
    <n v="31"/>
    <n v="4"/>
    <n v="3"/>
    <n v="1"/>
    <n v="0"/>
    <n v="21"/>
    <n v="16"/>
    <n v="5"/>
    <n v="0"/>
    <n v="18"/>
    <n v="8"/>
    <n v="10"/>
    <n v="0"/>
    <n v="2"/>
    <n v="0"/>
    <n v="2"/>
    <n v="0"/>
    <n v="45"/>
    <x v="1"/>
    <s v="Uso Libre"/>
    <s v="Navegación libre"/>
    <n v="1"/>
  </r>
  <r>
    <s v="Zárate III (Universidad Popular)"/>
    <x v="4"/>
    <n v="22"/>
    <n v="0"/>
    <n v="0"/>
    <n v="0"/>
    <n v="0"/>
    <n v="38"/>
    <n v="22"/>
    <n v="16"/>
    <n v="0"/>
    <n v="93"/>
    <n v="46"/>
    <n v="47"/>
    <n v="0"/>
    <n v="13"/>
    <n v="8"/>
    <n v="5"/>
    <n v="0"/>
    <n v="144"/>
    <x v="1"/>
    <s v="Trámites Nacionales"/>
    <s v="MiArgentina"/>
    <n v="3"/>
  </r>
  <r>
    <s v="Zárate III (Universidad Popular)"/>
    <x v="2"/>
    <n v="31"/>
    <n v="26"/>
    <n v="10"/>
    <n v="16"/>
    <n v="0"/>
    <n v="17"/>
    <n v="12"/>
    <n v="5"/>
    <n v="0"/>
    <n v="43"/>
    <n v="19"/>
    <n v="24"/>
    <n v="0"/>
    <n v="0"/>
    <n v="0"/>
    <n v="0"/>
    <n v="0"/>
    <n v="86"/>
    <x v="1"/>
    <s v="Uso Libre"/>
    <s v="Navegación libre"/>
    <n v="1"/>
  </r>
  <r>
    <s v="Zárate III (Universidad Popular)"/>
    <x v="1"/>
    <n v="34"/>
    <n v="0"/>
    <n v="0"/>
    <n v="0"/>
    <n v="0"/>
    <n v="0"/>
    <n v="0"/>
    <n v="0"/>
    <n v="0"/>
    <n v="1"/>
    <n v="1"/>
    <n v="0"/>
    <n v="0"/>
    <n v="0"/>
    <n v="0"/>
    <n v="0"/>
    <n v="0"/>
    <n v="1"/>
    <x v="1"/>
    <s v="Contenidos"/>
    <s v="NA"/>
    <n v="1"/>
  </r>
  <r>
    <s v="Zárate III (Universidad Popular)"/>
    <x v="5"/>
    <n v="10"/>
    <n v="58"/>
    <n v="33"/>
    <n v="25"/>
    <n v="0"/>
    <n v="54"/>
    <n v="32"/>
    <n v="22"/>
    <n v="0"/>
    <n v="0"/>
    <n v="0"/>
    <n v="0"/>
    <n v="0"/>
    <n v="0"/>
    <n v="0"/>
    <n v="0"/>
    <n v="0"/>
    <n v="112"/>
    <x v="1"/>
    <s v="Alfabetización Digital"/>
    <s v="Alfabetización Digital Inicial"/>
    <n v="2"/>
  </r>
  <r>
    <s v="Zárate III (Universidad Popular)"/>
    <x v="4"/>
    <n v="22"/>
    <n v="0"/>
    <n v="0"/>
    <n v="0"/>
    <n v="0"/>
    <n v="67"/>
    <n v="34"/>
    <n v="33"/>
    <n v="0"/>
    <n v="87"/>
    <n v="43"/>
    <n v="44"/>
    <n v="0"/>
    <n v="39"/>
    <n v="18"/>
    <n v="21"/>
    <n v="0"/>
    <n v="193"/>
    <x v="1"/>
    <s v="Trámites Nacionales"/>
    <s v="MiArgentina"/>
    <n v="3"/>
  </r>
  <r>
    <s v="Zárate III (Universidad Popular)"/>
    <x v="2"/>
    <n v="31"/>
    <n v="7"/>
    <n v="5"/>
    <n v="2"/>
    <n v="0"/>
    <n v="26"/>
    <n v="10"/>
    <n v="16"/>
    <n v="0"/>
    <n v="36"/>
    <n v="14"/>
    <n v="22"/>
    <n v="0"/>
    <n v="4"/>
    <n v="1"/>
    <n v="3"/>
    <n v="0"/>
    <n v="73"/>
    <x v="1"/>
    <s v="Uso Libre"/>
    <s v="Navegación libre"/>
    <n v="1"/>
  </r>
  <r>
    <s v="Zárate III (Universidad Popular)"/>
    <x v="6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Comunidad"/>
    <s v="Otros"/>
    <n v="2"/>
  </r>
  <r>
    <s v="Zárate III (Universidad Popular)"/>
    <x v="5"/>
    <n v="10"/>
    <n v="141"/>
    <n v="77"/>
    <n v="64"/>
    <n v="0"/>
    <n v="113"/>
    <n v="49"/>
    <n v="64"/>
    <n v="0"/>
    <n v="0"/>
    <n v="0"/>
    <n v="0"/>
    <n v="0"/>
    <n v="0"/>
    <n v="0"/>
    <n v="0"/>
    <n v="0"/>
    <n v="254"/>
    <x v="1"/>
    <s v="Alfabetización Digital"/>
    <s v="Alfabetización Digital Inicial"/>
    <n v="2"/>
  </r>
  <r>
    <s v="Zárate III (Universidad Popular)"/>
    <x v="3"/>
    <n v="16"/>
    <n v="0"/>
    <n v="0"/>
    <n v="0"/>
    <n v="0"/>
    <n v="103"/>
    <n v="59"/>
    <n v="40"/>
    <n v="4"/>
    <n v="450"/>
    <n v="236"/>
    <n v="206"/>
    <n v="8"/>
    <n v="47"/>
    <n v="29"/>
    <n v="18"/>
    <n v="0"/>
    <n v="600"/>
    <x v="1"/>
    <s v="Complementos de la educación formal"/>
    <s v="FINES"/>
    <n v="8"/>
  </r>
  <r>
    <s v="Zárate III (Universidad Popular)"/>
    <x v="4"/>
    <n v="22"/>
    <n v="0"/>
    <n v="0"/>
    <n v="0"/>
    <n v="0"/>
    <n v="0"/>
    <n v="0"/>
    <n v="0"/>
    <n v="0"/>
    <n v="118"/>
    <n v="51"/>
    <n v="67"/>
    <n v="0"/>
    <n v="110"/>
    <n v="58"/>
    <n v="52"/>
    <n v="0"/>
    <n v="228"/>
    <x v="1"/>
    <s v="Trámites Nacionales"/>
    <s v="MiArgentina"/>
    <n v="3"/>
  </r>
  <r>
    <s v="Zárate III (Universidad Popular)"/>
    <x v="2"/>
    <n v="31"/>
    <n v="120"/>
    <n v="61"/>
    <n v="59"/>
    <n v="0"/>
    <n v="239"/>
    <n v="117"/>
    <n v="121"/>
    <n v="1"/>
    <n v="468"/>
    <n v="221"/>
    <n v="242"/>
    <n v="5"/>
    <n v="8"/>
    <n v="2"/>
    <n v="6"/>
    <n v="0"/>
    <n v="835"/>
    <x v="1"/>
    <s v="Uso Libre"/>
    <s v="Navegación libre"/>
    <n v="6"/>
  </r>
  <r>
    <s v="Zárate III (Universidad Popular)"/>
    <x v="6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Comunidad"/>
    <s v="Ciudadanía y Derechos Humanos"/>
    <n v="1"/>
  </r>
  <r>
    <s v="Zárate III (Universidad Popular)"/>
    <x v="1"/>
    <n v="34"/>
    <n v="0"/>
    <n v="0"/>
    <n v="0"/>
    <n v="0"/>
    <n v="0"/>
    <n v="0"/>
    <n v="0"/>
    <n v="0"/>
    <n v="1"/>
    <n v="1"/>
    <n v="0"/>
    <n v="0"/>
    <n v="0"/>
    <n v="0"/>
    <n v="0"/>
    <n v="0"/>
    <n v="1"/>
    <x v="1"/>
    <s v="Comunicación"/>
    <s v="NA"/>
    <n v="1"/>
  </r>
  <r>
    <s v="Zárate III (Universidad Popular)"/>
    <x v="5"/>
    <n v="10"/>
    <n v="119"/>
    <n v="57"/>
    <n v="62"/>
    <n v="0"/>
    <n v="114"/>
    <n v="63"/>
    <n v="51"/>
    <n v="0"/>
    <n v="35"/>
    <n v="30"/>
    <n v="5"/>
    <n v="0"/>
    <n v="0"/>
    <n v="0"/>
    <n v="0"/>
    <n v="0"/>
    <n v="268"/>
    <x v="1"/>
    <s v="Alfabetización Digital"/>
    <s v="Alfabetización Digital Inicial"/>
    <n v="2"/>
  </r>
  <r>
    <s v="Zárate III (Universidad Popular)"/>
    <x v="3"/>
    <n v="16"/>
    <n v="147"/>
    <n v="76"/>
    <n v="71"/>
    <n v="0"/>
    <n v="253"/>
    <n v="125"/>
    <n v="128"/>
    <n v="0"/>
    <n v="575"/>
    <n v="302"/>
    <n v="268"/>
    <n v="5"/>
    <n v="0"/>
    <n v="0"/>
    <n v="0"/>
    <n v="0"/>
    <n v="975"/>
    <x v="1"/>
    <s v="Complementos de la educación formal"/>
    <s v="Otros"/>
    <n v="10"/>
  </r>
  <r>
    <s v="Zárate III (Universidad Popular)"/>
    <x v="4"/>
    <n v="22"/>
    <n v="0"/>
    <n v="0"/>
    <n v="0"/>
    <n v="0"/>
    <n v="0"/>
    <n v="0"/>
    <n v="0"/>
    <n v="0"/>
    <n v="73"/>
    <n v="29"/>
    <n v="44"/>
    <n v="0"/>
    <n v="36"/>
    <n v="20"/>
    <n v="16"/>
    <n v="0"/>
    <n v="109"/>
    <x v="1"/>
    <s v="Trámites Nacionales"/>
    <s v="MiArgentina"/>
    <n v="2"/>
  </r>
  <r>
    <s v="Zárate III (Universidad Popular)"/>
    <x v="2"/>
    <n v="31"/>
    <n v="124"/>
    <n v="67"/>
    <n v="57"/>
    <n v="0"/>
    <n v="171"/>
    <n v="79"/>
    <n v="92"/>
    <n v="0"/>
    <n v="293"/>
    <n v="137"/>
    <n v="151"/>
    <n v="5"/>
    <n v="0"/>
    <n v="0"/>
    <n v="0"/>
    <n v="0"/>
    <n v="588"/>
    <x v="1"/>
    <s v="Uso Libre"/>
    <s v="Navegación libre"/>
    <n v="4"/>
  </r>
  <r>
    <s v="Zárate III (Universidad Popular)"/>
    <x v="5"/>
    <n v="10"/>
    <n v="75"/>
    <n v="34"/>
    <n v="41"/>
    <n v="0"/>
    <n v="128"/>
    <n v="60"/>
    <n v="68"/>
    <n v="0"/>
    <n v="0"/>
    <n v="0"/>
    <n v="0"/>
    <n v="0"/>
    <n v="0"/>
    <n v="0"/>
    <n v="0"/>
    <n v="0"/>
    <n v="203"/>
    <x v="1"/>
    <s v="Alfabetización Digital"/>
    <s v="Alfabetización Digital Inicial"/>
    <n v="2"/>
  </r>
  <r>
    <s v="Zárate III (Universidad Popular)"/>
    <x v="3"/>
    <n v="16"/>
    <n v="85"/>
    <n v="46"/>
    <n v="39"/>
    <n v="0"/>
    <n v="157"/>
    <n v="83"/>
    <n v="74"/>
    <n v="0"/>
    <n v="287"/>
    <n v="160"/>
    <n v="127"/>
    <n v="0"/>
    <n v="0"/>
    <n v="0"/>
    <n v="0"/>
    <n v="0"/>
    <n v="529"/>
    <x v="1"/>
    <s v="Complementos de la educación formal"/>
    <s v="Otros"/>
    <n v="6"/>
  </r>
  <r>
    <s v="Zárate III (Universidad Popular)"/>
    <x v="4"/>
    <n v="22"/>
    <n v="0"/>
    <n v="0"/>
    <n v="0"/>
    <n v="0"/>
    <n v="0"/>
    <n v="0"/>
    <n v="0"/>
    <n v="0"/>
    <n v="141"/>
    <n v="78"/>
    <n v="63"/>
    <n v="0"/>
    <n v="26"/>
    <n v="16"/>
    <n v="10"/>
    <n v="0"/>
    <n v="167"/>
    <x v="1"/>
    <s v="Trámites Nacionales"/>
    <s v="MiArgentina"/>
    <n v="2"/>
  </r>
  <r>
    <s v="Zárate III (Universidad Popular)"/>
    <x v="2"/>
    <n v="31"/>
    <n v="107"/>
    <n v="46"/>
    <n v="61"/>
    <n v="0"/>
    <n v="163"/>
    <n v="70"/>
    <n v="93"/>
    <n v="0"/>
    <n v="116"/>
    <n v="53"/>
    <n v="63"/>
    <n v="0"/>
    <n v="0"/>
    <n v="0"/>
    <n v="0"/>
    <n v="0"/>
    <n v="386"/>
    <x v="1"/>
    <s v="Uso Libre"/>
    <s v="Navegación libre"/>
    <n v="4"/>
  </r>
  <r>
    <s v="Zárate III (Universidad Popular)"/>
    <x v="5"/>
    <n v="10"/>
    <n v="94"/>
    <n v="52"/>
    <n v="42"/>
    <n v="0"/>
    <n v="121"/>
    <n v="60"/>
    <n v="61"/>
    <n v="0"/>
    <n v="0"/>
    <n v="0"/>
    <n v="0"/>
    <n v="0"/>
    <n v="0"/>
    <n v="0"/>
    <n v="0"/>
    <n v="0"/>
    <n v="215"/>
    <x v="1"/>
    <s v="Alfabetización Digital"/>
    <s v="Alfabetización Digital Inicial"/>
    <n v="2"/>
  </r>
  <r>
    <s v="Zárate III (Universidad Popular)"/>
    <x v="3"/>
    <n v="16"/>
    <n v="93"/>
    <n v="48"/>
    <n v="45"/>
    <n v="0"/>
    <n v="222"/>
    <n v="108"/>
    <n v="114"/>
    <n v="0"/>
    <n v="300"/>
    <n v="155"/>
    <n v="145"/>
    <n v="0"/>
    <n v="0"/>
    <n v="0"/>
    <n v="0"/>
    <n v="0"/>
    <n v="615"/>
    <x v="1"/>
    <s v="Complementos de la educación formal"/>
    <s v="Otros"/>
    <n v="6"/>
  </r>
  <r>
    <s v="Zárate III (Universidad Popular)"/>
    <x v="4"/>
    <n v="22"/>
    <n v="0"/>
    <n v="0"/>
    <n v="0"/>
    <n v="0"/>
    <n v="42"/>
    <n v="24"/>
    <n v="18"/>
    <n v="0"/>
    <n v="67"/>
    <n v="37"/>
    <n v="30"/>
    <n v="0"/>
    <n v="30"/>
    <n v="18"/>
    <n v="12"/>
    <n v="0"/>
    <n v="139"/>
    <x v="1"/>
    <s v="Trámites Nacionales"/>
    <s v="MiArgentina"/>
    <n v="2"/>
  </r>
  <r>
    <s v="Zárate III (Universidad Popular)"/>
    <x v="2"/>
    <n v="31"/>
    <n v="189"/>
    <n v="97"/>
    <n v="92"/>
    <n v="0"/>
    <n v="255"/>
    <n v="119"/>
    <n v="136"/>
    <n v="0"/>
    <n v="172"/>
    <n v="100"/>
    <n v="72"/>
    <n v="0"/>
    <n v="27"/>
    <n v="16"/>
    <n v="11"/>
    <n v="0"/>
    <n v="643"/>
    <x v="1"/>
    <s v="Uso Libre"/>
    <s v="Navegación libre"/>
    <n v="4"/>
  </r>
  <r>
    <s v="Zárate II (Lima Centro Cultural)"/>
    <x v="5"/>
    <n v="10"/>
    <n v="62"/>
    <n v="27"/>
    <n v="35"/>
    <n v="0"/>
    <n v="43"/>
    <n v="18"/>
    <n v="25"/>
    <n v="0"/>
    <n v="36"/>
    <n v="9"/>
    <n v="27"/>
    <n v="0"/>
    <n v="8"/>
    <n v="3"/>
    <n v="5"/>
    <n v="0"/>
    <n v="149"/>
    <x v="1"/>
    <s v="Alfabetización Digital"/>
    <s v="Paquete de Office o LibreOffice"/>
    <n v="1"/>
  </r>
  <r>
    <s v="Zárate II (Lima Centro Cultural)"/>
    <x v="4"/>
    <n v="22"/>
    <n v="0"/>
    <n v="0"/>
    <n v="0"/>
    <n v="0"/>
    <n v="65"/>
    <n v="22"/>
    <n v="43"/>
    <n v="0"/>
    <n v="129"/>
    <n v="55"/>
    <n v="74"/>
    <n v="0"/>
    <n v="167"/>
    <n v="69"/>
    <n v="98"/>
    <n v="0"/>
    <n v="361"/>
    <x v="1"/>
    <s v="Trámites Nacionales"/>
    <s v="AFIP"/>
    <n v="3"/>
  </r>
  <r>
    <s v="Zárate II (Lima Centro Cultural)"/>
    <x v="6"/>
    <n v="25"/>
    <n v="12"/>
    <n v="5"/>
    <n v="7"/>
    <n v="0"/>
    <n v="0"/>
    <n v="0"/>
    <n v="0"/>
    <n v="0"/>
    <n v="51"/>
    <n v="22"/>
    <n v="29"/>
    <n v="0"/>
    <n v="0"/>
    <n v="0"/>
    <n v="0"/>
    <n v="0"/>
    <n v="63"/>
    <x v="1"/>
    <s v="Comunidad"/>
    <s v="Otros"/>
    <n v="1"/>
  </r>
  <r>
    <s v="Zárate II (Lima Centro Cultural)"/>
    <x v="5"/>
    <n v="10"/>
    <n v="62"/>
    <n v="27"/>
    <n v="35"/>
    <n v="0"/>
    <n v="43"/>
    <n v="18"/>
    <n v="25"/>
    <n v="0"/>
    <n v="36"/>
    <n v="9"/>
    <n v="27"/>
    <n v="0"/>
    <n v="8"/>
    <n v="3"/>
    <n v="5"/>
    <n v="0"/>
    <n v="149"/>
    <x v="1"/>
    <s v="Alfabetización Digital"/>
    <s v="Paquete de Office o LibreOffice"/>
    <n v="1"/>
  </r>
  <r>
    <s v="Zárate II (Lima Centro Cultural)"/>
    <x v="4"/>
    <n v="22"/>
    <n v="0"/>
    <n v="0"/>
    <n v="0"/>
    <n v="0"/>
    <n v="55"/>
    <n v="5"/>
    <n v="50"/>
    <n v="0"/>
    <n v="161"/>
    <n v="78"/>
    <n v="83"/>
    <n v="0"/>
    <n v="58"/>
    <n v="17"/>
    <n v="41"/>
    <n v="0"/>
    <n v="274"/>
    <x v="1"/>
    <s v="Trámites Nacionales"/>
    <s v="AFIP"/>
    <n v="4"/>
  </r>
  <r>
    <s v="Zárate II (Lima Centro Cultural)"/>
    <x v="6"/>
    <n v="25"/>
    <n v="0"/>
    <n v="0"/>
    <n v="0"/>
    <n v="0"/>
    <n v="32"/>
    <n v="15"/>
    <n v="17"/>
    <n v="0"/>
    <n v="6"/>
    <n v="3"/>
    <n v="3"/>
    <n v="0"/>
    <n v="0"/>
    <n v="0"/>
    <n v="0"/>
    <n v="0"/>
    <n v="38"/>
    <x v="1"/>
    <s v="Comunidad"/>
    <s v="Otros"/>
    <n v="1"/>
  </r>
  <r>
    <s v="Zárate II (Lima Centro Cultural)"/>
    <x v="5"/>
    <n v="10"/>
    <n v="33"/>
    <n v="15"/>
    <n v="18"/>
    <n v="0"/>
    <n v="60"/>
    <n v="30"/>
    <n v="30"/>
    <n v="0"/>
    <n v="65"/>
    <n v="29"/>
    <n v="36"/>
    <n v="0"/>
    <n v="49"/>
    <n v="19"/>
    <n v="30"/>
    <n v="0"/>
    <n v="207"/>
    <x v="1"/>
    <s v="Alfabetización Digital"/>
    <s v="Paquete de Office o LibreOffice"/>
    <n v="1"/>
  </r>
  <r>
    <s v="Zárate II (Lima Centro Cultural)"/>
    <x v="4"/>
    <n v="22"/>
    <n v="0"/>
    <n v="0"/>
    <n v="0"/>
    <n v="0"/>
    <n v="98"/>
    <n v="45"/>
    <n v="53"/>
    <n v="0"/>
    <n v="162"/>
    <n v="64"/>
    <n v="98"/>
    <n v="0"/>
    <n v="53"/>
    <n v="25"/>
    <n v="28"/>
    <n v="0"/>
    <n v="313"/>
    <x v="1"/>
    <s v="Trámites Nacionales"/>
    <s v="AFIP"/>
    <n v="4"/>
  </r>
  <r>
    <s v="Zárate II (Lima Centro Cultural)"/>
    <x v="6"/>
    <n v="25"/>
    <n v="3"/>
    <n v="0"/>
    <n v="3"/>
    <n v="0"/>
    <n v="52"/>
    <n v="17"/>
    <n v="35"/>
    <n v="0"/>
    <n v="50"/>
    <n v="7"/>
    <n v="43"/>
    <n v="0"/>
    <n v="72"/>
    <n v="30"/>
    <n v="42"/>
    <n v="0"/>
    <n v="177"/>
    <x v="1"/>
    <s v="Comunidad"/>
    <s v="Otros"/>
    <n v="2"/>
  </r>
  <r>
    <s v="Zárate II (Lima Centro Cultural)"/>
    <x v="5"/>
    <n v="10"/>
    <n v="62"/>
    <n v="26"/>
    <n v="36"/>
    <n v="0"/>
    <n v="96"/>
    <n v="43"/>
    <n v="53"/>
    <n v="0"/>
    <n v="94"/>
    <n v="42"/>
    <n v="52"/>
    <n v="0"/>
    <n v="31"/>
    <n v="14"/>
    <n v="17"/>
    <n v="0"/>
    <n v="283"/>
    <x v="1"/>
    <s v="Alfabetización Digital"/>
    <s v="Paquete de Office o LibreOffice"/>
    <n v="2"/>
  </r>
  <r>
    <s v="Zárate II (Lima Centro Cultural)"/>
    <x v="4"/>
    <n v="22"/>
    <n v="19"/>
    <n v="7"/>
    <n v="12"/>
    <n v="0"/>
    <n v="85"/>
    <n v="37"/>
    <n v="48"/>
    <n v="0"/>
    <n v="62"/>
    <n v="29"/>
    <n v="33"/>
    <n v="0"/>
    <n v="33"/>
    <n v="15"/>
    <n v="18"/>
    <n v="0"/>
    <n v="199"/>
    <x v="1"/>
    <s v="Trámites Nacionales"/>
    <s v="AFIP"/>
    <n v="4"/>
  </r>
  <r>
    <s v="Zárate II (Lima Centro Cultural)"/>
    <x v="6"/>
    <n v="25"/>
    <n v="0"/>
    <n v="0"/>
    <n v="0"/>
    <n v="0"/>
    <n v="5"/>
    <n v="0"/>
    <n v="5"/>
    <n v="0"/>
    <n v="15"/>
    <n v="6"/>
    <n v="9"/>
    <n v="0"/>
    <n v="3"/>
    <n v="0"/>
    <n v="3"/>
    <n v="0"/>
    <n v="23"/>
    <x v="1"/>
    <s v="Comunidad"/>
    <s v="Otros"/>
    <n v="1"/>
  </r>
  <r>
    <s v="Zárate II (Lima Centro Cultural)"/>
    <x v="5"/>
    <n v="10"/>
    <n v="62"/>
    <n v="26"/>
    <n v="36"/>
    <n v="0"/>
    <n v="117"/>
    <n v="54"/>
    <n v="63"/>
    <n v="0"/>
    <n v="121"/>
    <n v="54"/>
    <n v="67"/>
    <n v="0"/>
    <n v="39"/>
    <n v="17"/>
    <n v="22"/>
    <n v="0"/>
    <n v="339"/>
    <x v="1"/>
    <s v="Alfabetización Digital"/>
    <s v="Paquete de Office o LibreOffice"/>
    <n v="3"/>
  </r>
  <r>
    <s v="Zárate II (Lima Centro Cultural)"/>
    <x v="3"/>
    <n v="16"/>
    <n v="0"/>
    <n v="0"/>
    <n v="0"/>
    <n v="0"/>
    <n v="16"/>
    <n v="11"/>
    <n v="5"/>
    <n v="0"/>
    <n v="21"/>
    <n v="8"/>
    <n v="13"/>
    <n v="0"/>
    <n v="8"/>
    <n v="8"/>
    <n v="0"/>
    <n v="0"/>
    <n v="45"/>
    <x v="1"/>
    <s v="Complementos de la educación formal"/>
    <s v="Otros"/>
    <n v="2"/>
  </r>
  <r>
    <s v="Zárate II (Lima Centro Cultural)"/>
    <x v="4"/>
    <n v="22"/>
    <n v="4"/>
    <n v="2"/>
    <n v="2"/>
    <n v="0"/>
    <n v="16"/>
    <n v="5"/>
    <n v="11"/>
    <n v="0"/>
    <n v="90"/>
    <n v="38"/>
    <n v="52"/>
    <n v="0"/>
    <n v="43"/>
    <n v="29"/>
    <n v="14"/>
    <n v="0"/>
    <n v="153"/>
    <x v="1"/>
    <s v="Trámites Nacionales"/>
    <s v="AFIP"/>
    <n v="4"/>
  </r>
  <r>
    <s v="Zárate II (Lima Centro Cultural)"/>
    <x v="6"/>
    <n v="25"/>
    <n v="2"/>
    <n v="1"/>
    <n v="1"/>
    <n v="0"/>
    <n v="5"/>
    <n v="3"/>
    <n v="2"/>
    <n v="0"/>
    <n v="4"/>
    <n v="2"/>
    <n v="2"/>
    <n v="0"/>
    <n v="3"/>
    <n v="1"/>
    <n v="2"/>
    <n v="0"/>
    <n v="14"/>
    <x v="1"/>
    <s v="Comunidad"/>
    <s v="Otros"/>
    <n v="1"/>
  </r>
  <r>
    <s v="Zárate II (Lima Centro Cultural)"/>
    <x v="2"/>
    <n v="31"/>
    <n v="25"/>
    <n v="10"/>
    <n v="15"/>
    <n v="0"/>
    <n v="41"/>
    <n v="20"/>
    <n v="21"/>
    <n v="0"/>
    <n v="65"/>
    <n v="30"/>
    <n v="35"/>
    <n v="0"/>
    <n v="36"/>
    <n v="25"/>
    <n v="11"/>
    <n v="0"/>
    <n v="167"/>
    <x v="1"/>
    <s v="Uso Libre"/>
    <s v="Navegación libre"/>
    <n v="1"/>
  </r>
  <r>
    <s v="Zárate II (Lima Centro Cultural)"/>
    <x v="5"/>
    <n v="10"/>
    <n v="62"/>
    <n v="26"/>
    <n v="36"/>
    <n v="0"/>
    <n v="141"/>
    <n v="43"/>
    <n v="53"/>
    <n v="45"/>
    <n v="94"/>
    <n v="42"/>
    <n v="52"/>
    <n v="0"/>
    <n v="31"/>
    <n v="14"/>
    <n v="17"/>
    <n v="0"/>
    <n v="328"/>
    <x v="1"/>
    <s v="Alfabetización Digital"/>
    <s v="Paquete de Office o LibreOffice"/>
    <n v="2"/>
  </r>
  <r>
    <s v="Zárate II (Lima Centro Cultural)"/>
    <x v="3"/>
    <n v="16"/>
    <n v="0"/>
    <n v="0"/>
    <n v="0"/>
    <n v="0"/>
    <n v="16"/>
    <n v="11"/>
    <n v="5"/>
    <n v="0"/>
    <n v="13"/>
    <n v="7"/>
    <n v="6"/>
    <n v="0"/>
    <n v="9"/>
    <n v="6"/>
    <n v="3"/>
    <n v="0"/>
    <n v="38"/>
    <x v="1"/>
    <s v="Complementos de la educación formal"/>
    <s v="Otros"/>
    <n v="2"/>
  </r>
  <r>
    <s v="Zárate II (Lima Centro Cultural)"/>
    <x v="4"/>
    <n v="22"/>
    <n v="26"/>
    <n v="10"/>
    <n v="16"/>
    <n v="0"/>
    <n v="92"/>
    <n v="42"/>
    <n v="50"/>
    <n v="0"/>
    <n v="78"/>
    <n v="31"/>
    <n v="47"/>
    <n v="0"/>
    <n v="40"/>
    <n v="17"/>
    <n v="23"/>
    <n v="0"/>
    <n v="236"/>
    <x v="1"/>
    <s v="Trámites Nacionales"/>
    <s v="AFIP"/>
    <n v="4"/>
  </r>
  <r>
    <s v="Zárate II (Lima Centro Cultural)"/>
    <x v="6"/>
    <n v="25"/>
    <n v="0"/>
    <n v="0"/>
    <n v="0"/>
    <n v="0"/>
    <n v="20"/>
    <n v="15"/>
    <n v="5"/>
    <n v="0"/>
    <n v="1"/>
    <n v="0"/>
    <n v="1"/>
    <n v="0"/>
    <n v="4"/>
    <n v="1"/>
    <n v="3"/>
    <n v="0"/>
    <n v="25"/>
    <x v="1"/>
    <s v="Comunidad"/>
    <s v="Otros"/>
    <n v="1"/>
  </r>
  <r>
    <s v="Zárate II (Lima Centro Cultural)"/>
    <x v="2"/>
    <n v="31"/>
    <n v="33"/>
    <n v="15"/>
    <n v="18"/>
    <n v="0"/>
    <n v="55"/>
    <n v="25"/>
    <n v="30"/>
    <n v="0"/>
    <n v="41"/>
    <n v="18"/>
    <n v="23"/>
    <n v="0"/>
    <n v="17"/>
    <n v="5"/>
    <n v="12"/>
    <n v="0"/>
    <n v="146"/>
    <x v="1"/>
    <s v="Uso Libre"/>
    <s v="Navegación libre"/>
    <n v="1"/>
  </r>
  <r>
    <s v="Zárate II (Lima Centro Cultural)"/>
    <x v="5"/>
    <n v="10"/>
    <n v="62"/>
    <n v="26"/>
    <n v="36"/>
    <n v="0"/>
    <n v="96"/>
    <n v="43"/>
    <n v="53"/>
    <n v="0"/>
    <n v="94"/>
    <n v="42"/>
    <n v="52"/>
    <n v="0"/>
    <n v="31"/>
    <n v="14"/>
    <n v="17"/>
    <n v="0"/>
    <n v="283"/>
    <x v="1"/>
    <s v="Alfabetización Digital"/>
    <s v="Paquete de Office o LibreOffice"/>
    <n v="2"/>
  </r>
  <r>
    <s v="Zárate II (Lima Centro Cultural)"/>
    <x v="3"/>
    <n v="16"/>
    <n v="0"/>
    <n v="0"/>
    <n v="0"/>
    <n v="0"/>
    <n v="16"/>
    <n v="11"/>
    <n v="5"/>
    <n v="0"/>
    <n v="13"/>
    <n v="7"/>
    <n v="6"/>
    <n v="0"/>
    <n v="3"/>
    <n v="3"/>
    <n v="0"/>
    <n v="0"/>
    <n v="32"/>
    <x v="1"/>
    <s v="Complementos de la educación formal"/>
    <s v="Otros"/>
    <n v="2"/>
  </r>
  <r>
    <s v="Zárate II (Lima Centro Cultural)"/>
    <x v="4"/>
    <n v="22"/>
    <n v="4"/>
    <n v="1"/>
    <n v="3"/>
    <n v="0"/>
    <n v="54"/>
    <n v="12"/>
    <n v="42"/>
    <n v="0"/>
    <n v="72"/>
    <n v="36"/>
    <n v="36"/>
    <n v="0"/>
    <n v="70"/>
    <n v="27"/>
    <n v="43"/>
    <n v="0"/>
    <n v="200"/>
    <x v="1"/>
    <s v="Trámites Nacionales"/>
    <s v="AFIP"/>
    <n v="4"/>
  </r>
  <r>
    <s v="Zárate II (Lima Centro Cultural)"/>
    <x v="6"/>
    <n v="25"/>
    <n v="0"/>
    <n v="0"/>
    <n v="0"/>
    <n v="0"/>
    <n v="7"/>
    <n v="5"/>
    <n v="2"/>
    <n v="0"/>
    <n v="12"/>
    <n v="5"/>
    <n v="7"/>
    <n v="0"/>
    <n v="3"/>
    <n v="0"/>
    <n v="3"/>
    <n v="0"/>
    <n v="22"/>
    <x v="1"/>
    <s v="Comunidad"/>
    <s v="Otros"/>
    <n v="1"/>
  </r>
  <r>
    <s v="Zárate II (Lima Centro Cultural)"/>
    <x v="2"/>
    <n v="31"/>
    <n v="45"/>
    <n v="25"/>
    <n v="20"/>
    <n v="0"/>
    <n v="75"/>
    <n v="35"/>
    <n v="40"/>
    <n v="0"/>
    <n v="45"/>
    <n v="19"/>
    <n v="26"/>
    <n v="0"/>
    <n v="50"/>
    <n v="25"/>
    <n v="25"/>
    <n v="0"/>
    <n v="215"/>
    <x v="1"/>
    <s v="Uso Libre"/>
    <s v="Navegación libre"/>
    <n v="1"/>
  </r>
  <r>
    <s v="Zárate II (Lima Centro Cultural)"/>
    <x v="5"/>
    <n v="10"/>
    <n v="58"/>
    <n v="22"/>
    <n v="36"/>
    <n v="0"/>
    <n v="96"/>
    <n v="43"/>
    <n v="53"/>
    <n v="0"/>
    <n v="94"/>
    <n v="42"/>
    <n v="52"/>
    <n v="0"/>
    <n v="31"/>
    <n v="14"/>
    <n v="17"/>
    <n v="0"/>
    <n v="279"/>
    <x v="1"/>
    <s v="Alfabetización Digital"/>
    <s v="Paquete de Office o LibreOffice"/>
    <n v="2"/>
  </r>
  <r>
    <s v="Zárate II (Lima Centro Cultural)"/>
    <x v="3"/>
    <n v="16"/>
    <n v="0"/>
    <n v="0"/>
    <n v="0"/>
    <n v="0"/>
    <n v="16"/>
    <n v="11"/>
    <n v="5"/>
    <n v="0"/>
    <n v="13"/>
    <n v="7"/>
    <n v="6"/>
    <n v="0"/>
    <n v="8"/>
    <n v="5"/>
    <n v="3"/>
    <n v="0"/>
    <n v="37"/>
    <x v="1"/>
    <s v="Complementos de la educación formal"/>
    <s v="Otros"/>
    <n v="2"/>
  </r>
  <r>
    <s v="Zárate II (Lima Centro Cultural)"/>
    <x v="4"/>
    <n v="22"/>
    <n v="10"/>
    <n v="5"/>
    <n v="5"/>
    <n v="0"/>
    <n v="84"/>
    <n v="42"/>
    <n v="42"/>
    <n v="0"/>
    <n v="99"/>
    <n v="41"/>
    <n v="58"/>
    <n v="0"/>
    <n v="112"/>
    <n v="48"/>
    <n v="64"/>
    <n v="0"/>
    <n v="305"/>
    <x v="1"/>
    <s v="Trámites Nacionales"/>
    <s v="AFIP"/>
    <n v="4"/>
  </r>
  <r>
    <s v="Zárate II (Lima Centro Cultural)"/>
    <x v="6"/>
    <n v="25"/>
    <n v="0"/>
    <n v="0"/>
    <n v="0"/>
    <n v="0"/>
    <n v="26"/>
    <n v="5"/>
    <n v="21"/>
    <n v="0"/>
    <n v="9"/>
    <n v="5"/>
    <n v="4"/>
    <n v="0"/>
    <n v="1"/>
    <n v="1"/>
    <n v="0"/>
    <n v="0"/>
    <n v="36"/>
    <x v="1"/>
    <s v="Comunidad"/>
    <s v="Otros"/>
    <n v="1"/>
  </r>
  <r>
    <s v="Zárate II (Lima Centro Cultural)"/>
    <x v="2"/>
    <n v="31"/>
    <n v="30"/>
    <n v="15"/>
    <n v="15"/>
    <n v="0"/>
    <n v="51"/>
    <n v="25"/>
    <n v="26"/>
    <n v="0"/>
    <n v="63"/>
    <n v="32"/>
    <n v="31"/>
    <n v="0"/>
    <n v="17"/>
    <n v="5"/>
    <n v="12"/>
    <n v="0"/>
    <n v="161"/>
    <x v="1"/>
    <s v="Uso Libre"/>
    <s v="Navegación libre"/>
    <n v="1"/>
  </r>
  <r>
    <s v="Zapala"/>
    <x v="1"/>
    <n v="34"/>
    <n v="73"/>
    <n v="22"/>
    <n v="51"/>
    <n v="0"/>
    <n v="5"/>
    <n v="2"/>
    <n v="3"/>
    <n v="0"/>
    <n v="6"/>
    <n v="3"/>
    <n v="3"/>
    <n v="0"/>
    <n v="0"/>
    <n v="0"/>
    <n v="0"/>
    <n v="0"/>
    <n v="84"/>
    <x v="2"/>
    <s v="Soporte"/>
    <s v="NA"/>
    <n v="3"/>
  </r>
  <r>
    <s v="Zapala"/>
    <x v="7"/>
    <n v="13"/>
    <n v="0"/>
    <n v="0"/>
    <n v="0"/>
    <n v="0"/>
    <n v="4"/>
    <n v="4"/>
    <n v="0"/>
    <n v="0"/>
    <n v="30"/>
    <n v="24"/>
    <n v="6"/>
    <n v="0"/>
    <n v="0"/>
    <n v="0"/>
    <n v="0"/>
    <n v="0"/>
    <n v="34"/>
    <x v="2"/>
    <s v="Inserción al mundo laboral"/>
    <s v="Armado de CV"/>
    <n v="1"/>
  </r>
  <r>
    <s v="Zapala"/>
    <x v="3"/>
    <n v="16"/>
    <n v="110"/>
    <n v="48"/>
    <n v="62"/>
    <n v="0"/>
    <n v="0"/>
    <n v="0"/>
    <n v="0"/>
    <n v="0"/>
    <n v="6"/>
    <n v="5"/>
    <n v="1"/>
    <n v="0"/>
    <n v="2"/>
    <n v="2"/>
    <n v="0"/>
    <n v="0"/>
    <n v="118"/>
    <x v="2"/>
    <s v="Complementos de la educación formal"/>
    <s v="Otros"/>
    <n v="2"/>
  </r>
  <r>
    <s v="Zapala"/>
    <x v="4"/>
    <n v="22"/>
    <n v="0"/>
    <n v="0"/>
    <n v="0"/>
    <n v="0"/>
    <n v="0"/>
    <n v="0"/>
    <n v="0"/>
    <n v="0"/>
    <n v="8"/>
    <n v="7"/>
    <n v="1"/>
    <n v="0"/>
    <n v="0"/>
    <n v="0"/>
    <n v="0"/>
    <n v="0"/>
    <n v="8"/>
    <x v="2"/>
    <s v="Trámites Nacionales"/>
    <s v="Otros"/>
    <n v="1"/>
  </r>
  <r>
    <s v="Zapala"/>
    <x v="6"/>
    <n v="25"/>
    <n v="0"/>
    <n v="0"/>
    <n v="0"/>
    <n v="0"/>
    <n v="0"/>
    <n v="0"/>
    <n v="0"/>
    <n v="0"/>
    <n v="11"/>
    <n v="10"/>
    <n v="1"/>
    <n v="0"/>
    <n v="0"/>
    <n v="0"/>
    <n v="0"/>
    <n v="0"/>
    <n v="11"/>
    <x v="2"/>
    <s v="Comunidad"/>
    <s v="Otros"/>
    <n v="1"/>
  </r>
  <r>
    <s v="Zapala"/>
    <x v="1"/>
    <n v="34"/>
    <n v="0"/>
    <n v="0"/>
    <n v="0"/>
    <n v="0"/>
    <n v="0"/>
    <n v="0"/>
    <n v="0"/>
    <n v="0"/>
    <n v="8"/>
    <n v="8"/>
    <n v="0"/>
    <n v="0"/>
    <n v="0"/>
    <n v="0"/>
    <n v="0"/>
    <n v="0"/>
    <n v="8"/>
    <x v="2"/>
    <s v="Contenidos"/>
    <s v="NA"/>
    <n v="3"/>
  </r>
  <r>
    <s v="Zapala"/>
    <x v="5"/>
    <n v="10"/>
    <n v="0"/>
    <n v="0"/>
    <n v="0"/>
    <n v="0"/>
    <n v="63"/>
    <n v="10"/>
    <n v="53"/>
    <n v="0"/>
    <n v="70"/>
    <n v="70"/>
    <n v="0"/>
    <n v="0"/>
    <n v="0"/>
    <n v="0"/>
    <n v="0"/>
    <n v="0"/>
    <n v="133"/>
    <x v="2"/>
    <s v="Alfabetización Digital"/>
    <s v="Alfabetización Digital Inicial"/>
    <n v="2"/>
  </r>
  <r>
    <s v="Zapala"/>
    <x v="3"/>
    <n v="16"/>
    <n v="50"/>
    <n v="8"/>
    <n v="42"/>
    <n v="0"/>
    <n v="0"/>
    <n v="0"/>
    <n v="0"/>
    <n v="0"/>
    <n v="0"/>
    <n v="0"/>
    <n v="0"/>
    <n v="0"/>
    <n v="0"/>
    <n v="0"/>
    <n v="0"/>
    <n v="0"/>
    <n v="50"/>
    <x v="2"/>
    <s v="Complementos de la educación formal"/>
    <s v="Otros"/>
    <n v="1"/>
  </r>
  <r>
    <s v="Zapala"/>
    <x v="2"/>
    <n v="31"/>
    <n v="9"/>
    <n v="3"/>
    <n v="6"/>
    <n v="0"/>
    <n v="7"/>
    <n v="2"/>
    <n v="5"/>
    <n v="0"/>
    <n v="0"/>
    <n v="0"/>
    <n v="0"/>
    <n v="0"/>
    <n v="0"/>
    <n v="0"/>
    <n v="0"/>
    <n v="0"/>
    <n v="16"/>
    <x v="2"/>
    <s v="Actividad"/>
    <s v="Punto Carnaval"/>
    <n v="1"/>
  </r>
  <r>
    <s v="Zapala"/>
    <x v="5"/>
    <n v="10"/>
    <n v="0"/>
    <n v="0"/>
    <n v="0"/>
    <n v="0"/>
    <n v="14"/>
    <n v="4"/>
    <n v="10"/>
    <n v="0"/>
    <n v="97"/>
    <n v="97"/>
    <n v="0"/>
    <n v="0"/>
    <n v="0"/>
    <n v="0"/>
    <n v="0"/>
    <n v="0"/>
    <n v="111"/>
    <x v="2"/>
    <s v="Alfabetización Digital"/>
    <s v="Alfabetización Digital Inicial"/>
    <n v="2"/>
  </r>
  <r>
    <s v="Zapala"/>
    <x v="4"/>
    <n v="22"/>
    <n v="0"/>
    <n v="0"/>
    <n v="0"/>
    <n v="0"/>
    <n v="1"/>
    <n v="0"/>
    <n v="1"/>
    <n v="0"/>
    <n v="2"/>
    <n v="0"/>
    <n v="2"/>
    <n v="0"/>
    <n v="1"/>
    <n v="1"/>
    <n v="0"/>
    <n v="0"/>
    <n v="4"/>
    <x v="2"/>
    <s v="Trámites Nacionales"/>
    <s v="PROGRESAR"/>
    <n v="2"/>
  </r>
  <r>
    <s v="Zapala"/>
    <x v="2"/>
    <n v="31"/>
    <n v="31"/>
    <n v="6"/>
    <n v="25"/>
    <n v="0"/>
    <n v="5"/>
    <n v="0"/>
    <n v="5"/>
    <n v="0"/>
    <n v="31"/>
    <n v="21"/>
    <n v="10"/>
    <n v="0"/>
    <n v="11"/>
    <n v="7"/>
    <n v="4"/>
    <n v="0"/>
    <n v="78"/>
    <x v="2"/>
    <s v="Uso Libre"/>
    <s v="Uso libre de la consola de videojuegos"/>
    <n v="2"/>
  </r>
  <r>
    <s v="Zapala"/>
    <x v="5"/>
    <n v="10"/>
    <n v="0"/>
    <n v="0"/>
    <n v="0"/>
    <n v="0"/>
    <n v="2"/>
    <n v="1"/>
    <n v="1"/>
    <n v="0"/>
    <n v="27"/>
    <n v="21"/>
    <n v="6"/>
    <n v="0"/>
    <n v="2"/>
    <n v="2"/>
    <n v="0"/>
    <n v="0"/>
    <n v="31"/>
    <x v="2"/>
    <s v="Tecnologías de la vida cotidiana"/>
    <s v="Cajero automático"/>
    <n v="4"/>
  </r>
  <r>
    <s v="Zapala"/>
    <x v="7"/>
    <n v="13"/>
    <n v="0"/>
    <n v="0"/>
    <n v="0"/>
    <n v="0"/>
    <n v="10"/>
    <n v="9"/>
    <n v="1"/>
    <n v="0"/>
    <n v="17"/>
    <n v="15"/>
    <n v="2"/>
    <n v="0"/>
    <n v="2"/>
    <n v="2"/>
    <n v="0"/>
    <n v="0"/>
    <n v="29"/>
    <x v="2"/>
    <s v="Oficios digitales"/>
    <s v="Diseño gráfico"/>
    <n v="2"/>
  </r>
  <r>
    <s v="Zapala"/>
    <x v="4"/>
    <n v="22"/>
    <n v="0"/>
    <n v="0"/>
    <n v="0"/>
    <n v="0"/>
    <n v="1"/>
    <n v="1"/>
    <n v="0"/>
    <n v="0"/>
    <n v="4"/>
    <n v="1"/>
    <n v="3"/>
    <n v="0"/>
    <n v="2"/>
    <n v="0"/>
    <n v="2"/>
    <n v="0"/>
    <n v="7"/>
    <x v="2"/>
    <s v="Trámites Nacionales"/>
    <s v="MiArgentina"/>
    <n v="2"/>
  </r>
  <r>
    <s v="Zapala"/>
    <x v="2"/>
    <n v="31"/>
    <n v="0"/>
    <n v="0"/>
    <n v="0"/>
    <n v="0"/>
    <n v="23"/>
    <n v="9"/>
    <n v="14"/>
    <n v="0"/>
    <n v="1"/>
    <n v="0"/>
    <n v="1"/>
    <n v="0"/>
    <n v="0"/>
    <n v="0"/>
    <n v="0"/>
    <n v="0"/>
    <n v="24"/>
    <x v="2"/>
    <s v="Uso Libre"/>
    <s v="Uso libre de la consola de videojuegos"/>
    <n v="2"/>
  </r>
  <r>
    <s v="Zapala"/>
    <x v="3"/>
    <n v="16"/>
    <n v="0"/>
    <n v="0"/>
    <n v="0"/>
    <n v="0"/>
    <n v="8"/>
    <n v="6"/>
    <n v="2"/>
    <n v="0"/>
    <n v="64"/>
    <n v="47"/>
    <n v="17"/>
    <n v="0"/>
    <n v="0"/>
    <n v="0"/>
    <n v="0"/>
    <n v="0"/>
    <n v="72"/>
    <x v="2"/>
    <s v="Complementos de la educación formal"/>
    <s v="Talleres País Digital"/>
    <n v="3"/>
  </r>
  <r>
    <s v="Zapala"/>
    <x v="2"/>
    <n v="31"/>
    <n v="62"/>
    <n v="13"/>
    <n v="49"/>
    <n v="0"/>
    <n v="189"/>
    <n v="150"/>
    <n v="39"/>
    <n v="0"/>
    <n v="20"/>
    <n v="6"/>
    <n v="14"/>
    <n v="0"/>
    <n v="0"/>
    <n v="0"/>
    <n v="0"/>
    <n v="0"/>
    <n v="271"/>
    <x v="2"/>
    <s v="Uso Libre"/>
    <s v="Uso libre de la consola de videojuegos"/>
    <n v="2"/>
  </r>
  <r>
    <s v="Zapala"/>
    <x v="7"/>
    <n v="13"/>
    <n v="0"/>
    <n v="0"/>
    <n v="0"/>
    <n v="0"/>
    <n v="0"/>
    <n v="0"/>
    <n v="0"/>
    <n v="0"/>
    <n v="44"/>
    <n v="27"/>
    <n v="17"/>
    <n v="0"/>
    <n v="0"/>
    <n v="0"/>
    <n v="0"/>
    <n v="0"/>
    <n v="44"/>
    <x v="2"/>
    <s v="Oficios digitales"/>
    <s v="Programación"/>
    <n v="2"/>
  </r>
  <r>
    <s v="Zapala"/>
    <x v="3"/>
    <n v="16"/>
    <n v="27"/>
    <n v="20"/>
    <n v="7"/>
    <n v="0"/>
    <n v="0"/>
    <n v="0"/>
    <n v="0"/>
    <n v="0"/>
    <n v="60"/>
    <n v="56"/>
    <n v="4"/>
    <n v="0"/>
    <n v="0"/>
    <n v="0"/>
    <n v="0"/>
    <n v="0"/>
    <n v="87"/>
    <x v="2"/>
    <s v="Complementos de la educación formal"/>
    <s v="Otros"/>
    <n v="1"/>
  </r>
  <r>
    <s v="Zapala"/>
    <x v="8"/>
    <n v="19"/>
    <n v="0"/>
    <n v="0"/>
    <n v="0"/>
    <n v="0"/>
    <n v="1"/>
    <n v="1"/>
    <n v="0"/>
    <n v="0"/>
    <n v="19"/>
    <n v="15"/>
    <n v="4"/>
    <n v="0"/>
    <n v="0"/>
    <n v="0"/>
    <n v="0"/>
    <n v="0"/>
    <n v="20"/>
    <x v="2"/>
    <s v="Salud"/>
    <s v="Otros"/>
    <n v="1"/>
  </r>
  <r>
    <s v="Zapala"/>
    <x v="4"/>
    <n v="22"/>
    <n v="0"/>
    <n v="0"/>
    <n v="0"/>
    <n v="0"/>
    <n v="0"/>
    <n v="0"/>
    <n v="0"/>
    <n v="0"/>
    <n v="9"/>
    <n v="7"/>
    <n v="2"/>
    <n v="0"/>
    <n v="0"/>
    <n v="0"/>
    <n v="0"/>
    <n v="0"/>
    <n v="9"/>
    <x v="2"/>
    <s v="Trámites Nacionales"/>
    <s v="Otros"/>
    <n v="2"/>
  </r>
  <r>
    <s v="Zapala"/>
    <x v="6"/>
    <n v="25"/>
    <n v="0"/>
    <n v="0"/>
    <n v="0"/>
    <n v="0"/>
    <n v="0"/>
    <n v="0"/>
    <n v="0"/>
    <n v="0"/>
    <n v="11"/>
    <n v="10"/>
    <n v="1"/>
    <n v="0"/>
    <n v="0"/>
    <n v="0"/>
    <n v="0"/>
    <n v="0"/>
    <n v="11"/>
    <x v="2"/>
    <s v="Comunidad"/>
    <s v="Capacitación a agentes municipales"/>
    <n v="1"/>
  </r>
  <r>
    <s v="Zapala"/>
    <x v="2"/>
    <n v="31"/>
    <n v="60"/>
    <n v="18"/>
    <n v="42"/>
    <n v="0"/>
    <n v="194"/>
    <n v="19"/>
    <n v="174"/>
    <n v="1"/>
    <n v="42"/>
    <n v="11"/>
    <n v="28"/>
    <n v="3"/>
    <n v="0"/>
    <n v="0"/>
    <n v="0"/>
    <n v="0"/>
    <n v="296"/>
    <x v="2"/>
    <s v="Actividad"/>
    <s v="Proyección de película (con debate)"/>
    <n v="4"/>
  </r>
  <r>
    <s v="Zapala"/>
    <x v="7"/>
    <n v="13"/>
    <n v="0"/>
    <n v="0"/>
    <n v="0"/>
    <n v="0"/>
    <n v="32"/>
    <n v="16"/>
    <n v="16"/>
    <n v="0"/>
    <n v="98"/>
    <n v="58"/>
    <n v="40"/>
    <n v="0"/>
    <n v="0"/>
    <n v="0"/>
    <n v="0"/>
    <n v="0"/>
    <n v="130"/>
    <x v="2"/>
    <s v="Oficios digitales"/>
    <s v="Programación"/>
    <n v="2"/>
  </r>
  <r>
    <s v="Zapala"/>
    <x v="4"/>
    <n v="22"/>
    <n v="5"/>
    <n v="2"/>
    <n v="3"/>
    <n v="0"/>
    <n v="3"/>
    <n v="1"/>
    <n v="2"/>
    <n v="0"/>
    <n v="15"/>
    <n v="10"/>
    <n v="5"/>
    <n v="0"/>
    <n v="5"/>
    <n v="3"/>
    <n v="2"/>
    <n v="0"/>
    <n v="28"/>
    <x v="2"/>
    <s v="Trámites Nacionales"/>
    <s v="Validación de identidad"/>
    <n v="3"/>
  </r>
  <r>
    <s v="Zapala"/>
    <x v="2"/>
    <n v="31"/>
    <n v="31"/>
    <n v="4"/>
    <n v="27"/>
    <n v="0"/>
    <n v="238"/>
    <n v="5"/>
    <n v="233"/>
    <n v="0"/>
    <n v="57"/>
    <n v="23"/>
    <n v="34"/>
    <n v="0"/>
    <n v="0"/>
    <n v="0"/>
    <n v="0"/>
    <n v="0"/>
    <n v="326"/>
    <x v="2"/>
    <s v="Uso Libre"/>
    <s v="Navegación libre"/>
    <n v="4"/>
  </r>
  <r>
    <s v="Zapala"/>
    <x v="7"/>
    <n v="13"/>
    <n v="0"/>
    <n v="0"/>
    <n v="0"/>
    <n v="0"/>
    <n v="0"/>
    <n v="0"/>
    <n v="0"/>
    <n v="0"/>
    <n v="27"/>
    <n v="11"/>
    <n v="15"/>
    <n v="1"/>
    <n v="0"/>
    <n v="0"/>
    <n v="0"/>
    <n v="0"/>
    <n v="27"/>
    <x v="2"/>
    <s v="Oficios digitales"/>
    <s v="Programación"/>
    <n v="2"/>
  </r>
  <r>
    <s v="Zapala"/>
    <x v="8"/>
    <n v="19"/>
    <n v="3"/>
    <n v="1"/>
    <n v="2"/>
    <n v="0"/>
    <n v="0"/>
    <n v="0"/>
    <n v="0"/>
    <n v="0"/>
    <n v="23"/>
    <n v="23"/>
    <n v="0"/>
    <n v="0"/>
    <n v="0"/>
    <n v="0"/>
    <n v="0"/>
    <n v="0"/>
    <n v="26"/>
    <x v="2"/>
    <s v="Salud"/>
    <s v="Otros"/>
    <n v="1"/>
  </r>
  <r>
    <s v="Zapala"/>
    <x v="4"/>
    <n v="22"/>
    <n v="0"/>
    <n v="0"/>
    <n v="0"/>
    <n v="0"/>
    <n v="1"/>
    <n v="1"/>
    <n v="0"/>
    <n v="0"/>
    <n v="3"/>
    <n v="3"/>
    <n v="0"/>
    <n v="0"/>
    <n v="2"/>
    <n v="1"/>
    <n v="1"/>
    <n v="0"/>
    <n v="6"/>
    <x v="2"/>
    <s v="Trámites Nacionales"/>
    <s v="Validación de identidad"/>
    <n v="2"/>
  </r>
  <r>
    <s v="Zapala"/>
    <x v="2"/>
    <n v="31"/>
    <n v="14"/>
    <n v="0"/>
    <n v="14"/>
    <n v="0"/>
    <n v="175"/>
    <n v="12"/>
    <n v="163"/>
    <n v="0"/>
    <n v="39"/>
    <n v="3"/>
    <n v="36"/>
    <n v="0"/>
    <n v="0"/>
    <n v="0"/>
    <n v="0"/>
    <n v="0"/>
    <n v="228"/>
    <x v="2"/>
    <s v="Uso Libre"/>
    <s v="Navegación libre"/>
    <n v="4"/>
  </r>
  <r>
    <s v="Yuto"/>
    <x v="1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x v="3"/>
    <s v="Contenidos"/>
    <s v="NA"/>
    <n v="1"/>
  </r>
  <r>
    <s v="Yuto"/>
    <x v="2"/>
    <n v="31"/>
    <n v="5"/>
    <n v="0"/>
    <n v="5"/>
    <n v="0"/>
    <n v="46"/>
    <n v="25"/>
    <n v="18"/>
    <n v="3"/>
    <n v="40"/>
    <n v="16"/>
    <n v="21"/>
    <n v="3"/>
    <n v="0"/>
    <n v="0"/>
    <n v="0"/>
    <n v="0"/>
    <n v="91"/>
    <x v="3"/>
    <s v="Actividad"/>
    <s v="Punto Carnaval"/>
    <n v="2"/>
  </r>
  <r>
    <s v="Yuto"/>
    <x v="3"/>
    <n v="16"/>
    <n v="15"/>
    <n v="10"/>
    <n v="5"/>
    <n v="0"/>
    <n v="0"/>
    <n v="0"/>
    <n v="0"/>
    <n v="0"/>
    <n v="0"/>
    <n v="0"/>
    <n v="0"/>
    <n v="0"/>
    <n v="0"/>
    <n v="0"/>
    <n v="0"/>
    <n v="0"/>
    <n v="15"/>
    <x v="3"/>
    <s v="Complementos de la educación formal"/>
    <s v="Apoyo escolar"/>
    <n v="1"/>
  </r>
  <r>
    <s v="Yuto"/>
    <x v="8"/>
    <n v="19"/>
    <n v="5"/>
    <n v="0"/>
    <n v="5"/>
    <n v="0"/>
    <n v="50"/>
    <n v="20"/>
    <n v="30"/>
    <n v="0"/>
    <n v="33"/>
    <n v="25"/>
    <n v="8"/>
    <n v="0"/>
    <n v="23"/>
    <n v="5"/>
    <n v="18"/>
    <n v="0"/>
    <n v="111"/>
    <x v="3"/>
    <s v="Salud"/>
    <s v="Otros"/>
    <n v="1"/>
  </r>
  <r>
    <s v="Yuto"/>
    <x v="3"/>
    <n v="16"/>
    <n v="35"/>
    <n v="15"/>
    <n v="20"/>
    <n v="0"/>
    <n v="35"/>
    <n v="20"/>
    <n v="15"/>
    <n v="0"/>
    <n v="0"/>
    <n v="0"/>
    <n v="0"/>
    <n v="0"/>
    <n v="0"/>
    <n v="0"/>
    <n v="0"/>
    <n v="0"/>
    <n v="70"/>
    <x v="3"/>
    <s v="Complementos de la educación formal"/>
    <s v="Apoyo escolar"/>
    <n v="1"/>
  </r>
  <r>
    <s v="Yuto"/>
    <x v="3"/>
    <n v="16"/>
    <n v="19"/>
    <n v="10"/>
    <n v="9"/>
    <n v="0"/>
    <n v="7"/>
    <n v="5"/>
    <n v="2"/>
    <n v="0"/>
    <n v="0"/>
    <n v="0"/>
    <n v="0"/>
    <n v="0"/>
    <n v="0"/>
    <n v="0"/>
    <n v="0"/>
    <n v="0"/>
    <n v="26"/>
    <x v="3"/>
    <s v="Complementos de la educación formal"/>
    <s v="Apoyo escolar"/>
    <n v="1"/>
  </r>
  <r>
    <s v="Yuto"/>
    <x v="1"/>
    <n v="34"/>
    <n v="0"/>
    <n v="0"/>
    <n v="0"/>
    <n v="0"/>
    <n v="45"/>
    <n v="25"/>
    <n v="18"/>
    <n v="2"/>
    <n v="33"/>
    <n v="18"/>
    <n v="14"/>
    <n v="1"/>
    <n v="2"/>
    <n v="2"/>
    <n v="0"/>
    <n v="0"/>
    <n v="80"/>
    <x v="3"/>
    <s v="Contenidos"/>
    <s v="NA"/>
    <n v="2"/>
  </r>
  <r>
    <s v="Yuto"/>
    <x v="3"/>
    <n v="16"/>
    <n v="21"/>
    <n v="10"/>
    <n v="10"/>
    <n v="1"/>
    <n v="7"/>
    <n v="5"/>
    <n v="2"/>
    <n v="0"/>
    <n v="1"/>
    <n v="1"/>
    <n v="0"/>
    <n v="0"/>
    <n v="0"/>
    <n v="0"/>
    <n v="0"/>
    <n v="0"/>
    <n v="29"/>
    <x v="3"/>
    <s v="Complementos de la educación formal"/>
    <s v="Apoyo escolar"/>
    <n v="1"/>
  </r>
  <r>
    <s v="Yuto"/>
    <x v="4"/>
    <n v="22"/>
    <n v="0"/>
    <n v="0"/>
    <n v="0"/>
    <n v="0"/>
    <n v="0"/>
    <n v="0"/>
    <n v="0"/>
    <n v="0"/>
    <n v="10"/>
    <n v="4"/>
    <n v="6"/>
    <n v="0"/>
    <n v="0"/>
    <n v="0"/>
    <n v="0"/>
    <n v="0"/>
    <n v="10"/>
    <x v="3"/>
    <s v="Trámites Provinciales"/>
    <s v="Otros"/>
    <n v="1"/>
  </r>
  <r>
    <s v="Yuto"/>
    <x v="3"/>
    <n v="16"/>
    <n v="15"/>
    <n v="10"/>
    <n v="5"/>
    <n v="0"/>
    <n v="7"/>
    <n v="5"/>
    <n v="2"/>
    <n v="0"/>
    <n v="0"/>
    <n v="0"/>
    <n v="0"/>
    <n v="0"/>
    <n v="0"/>
    <n v="0"/>
    <n v="0"/>
    <n v="0"/>
    <n v="22"/>
    <x v="3"/>
    <s v="Complementos de la educación formal"/>
    <s v="Apoyo escolar"/>
    <n v="1"/>
  </r>
  <r>
    <s v="Yuto"/>
    <x v="3"/>
    <n v="16"/>
    <n v="15"/>
    <n v="10"/>
    <n v="5"/>
    <n v="0"/>
    <n v="12"/>
    <n v="7"/>
    <n v="5"/>
    <n v="0"/>
    <n v="15"/>
    <n v="5"/>
    <n v="10"/>
    <n v="0"/>
    <n v="0"/>
    <n v="0"/>
    <n v="0"/>
    <n v="0"/>
    <n v="42"/>
    <x v="3"/>
    <s v="Complementos de la educación formal"/>
    <s v="Apoyo escolar"/>
    <n v="2"/>
  </r>
  <r>
    <s v="Yuto"/>
    <x v="2"/>
    <n v="31"/>
    <n v="27"/>
    <n v="15"/>
    <n v="10"/>
    <n v="2"/>
    <n v="9"/>
    <n v="5"/>
    <n v="4"/>
    <n v="0"/>
    <n v="0"/>
    <n v="0"/>
    <n v="0"/>
    <n v="0"/>
    <n v="0"/>
    <n v="0"/>
    <n v="0"/>
    <n v="0"/>
    <n v="36"/>
    <x v="3"/>
    <s v="Actividad"/>
    <s v="Proyección de película (con debate)"/>
    <n v="1"/>
  </r>
  <r>
    <s v="Yerba Buena"/>
    <x v="3"/>
    <n v="16"/>
    <n v="1624"/>
    <n v="969"/>
    <n v="655"/>
    <n v="0"/>
    <n v="260"/>
    <n v="133"/>
    <n v="127"/>
    <n v="0"/>
    <n v="0"/>
    <n v="0"/>
    <n v="0"/>
    <n v="0"/>
    <n v="0"/>
    <n v="0"/>
    <n v="0"/>
    <n v="0"/>
    <n v="1884"/>
    <x v="4"/>
    <s v="Complementos de la educación formal"/>
    <s v="Otros"/>
    <n v="2"/>
  </r>
  <r>
    <s v="Yerba Buena"/>
    <x v="4"/>
    <n v="22"/>
    <n v="0"/>
    <n v="0"/>
    <n v="0"/>
    <n v="0"/>
    <n v="457"/>
    <n v="260"/>
    <n v="197"/>
    <n v="0"/>
    <n v="3630"/>
    <n v="2189"/>
    <n v="1437"/>
    <n v="4"/>
    <n v="564"/>
    <n v="166"/>
    <n v="398"/>
    <n v="0"/>
    <n v="4651"/>
    <x v="4"/>
    <s v="Trámites Nacionales"/>
    <s v="Otros"/>
    <n v="3"/>
  </r>
  <r>
    <s v="Yerba Buena"/>
    <x v="6"/>
    <n v="25"/>
    <n v="0"/>
    <n v="0"/>
    <n v="0"/>
    <n v="0"/>
    <n v="0"/>
    <n v="0"/>
    <n v="0"/>
    <n v="0"/>
    <n v="3"/>
    <n v="1"/>
    <n v="2"/>
    <n v="0"/>
    <n v="0"/>
    <n v="0"/>
    <n v="0"/>
    <n v="0"/>
    <n v="3"/>
    <x v="4"/>
    <s v="Comunidad"/>
    <s v="Otros"/>
    <n v="1"/>
  </r>
  <r>
    <s v="Yerba Buena"/>
    <x v="1"/>
    <n v="34"/>
    <n v="0"/>
    <n v="0"/>
    <n v="0"/>
    <n v="0"/>
    <n v="0"/>
    <n v="0"/>
    <n v="0"/>
    <n v="0"/>
    <n v="4"/>
    <n v="2"/>
    <n v="2"/>
    <n v="0"/>
    <n v="0"/>
    <n v="0"/>
    <n v="0"/>
    <n v="0"/>
    <n v="4"/>
    <x v="4"/>
    <s v="Comunicación"/>
    <s v="NA"/>
    <n v="2"/>
  </r>
  <r>
    <s v="Yerba Buena"/>
    <x v="3"/>
    <n v="16"/>
    <n v="1318"/>
    <n v="775"/>
    <n v="543"/>
    <n v="0"/>
    <n v="0"/>
    <n v="0"/>
    <n v="0"/>
    <n v="0"/>
    <n v="0"/>
    <n v="0"/>
    <n v="0"/>
    <n v="0"/>
    <n v="0"/>
    <n v="0"/>
    <n v="0"/>
    <n v="0"/>
    <n v="1318"/>
    <x v="4"/>
    <s v="Complementos de la educación formal"/>
    <s v="Otros"/>
    <n v="2"/>
  </r>
  <r>
    <s v="Yerba Buena"/>
    <x v="4"/>
    <n v="22"/>
    <n v="0"/>
    <n v="0"/>
    <n v="0"/>
    <n v="0"/>
    <n v="69"/>
    <n v="48"/>
    <n v="21"/>
    <n v="0"/>
    <n v="2588"/>
    <n v="1142"/>
    <n v="1446"/>
    <n v="0"/>
    <n v="64"/>
    <n v="37"/>
    <n v="27"/>
    <n v="0"/>
    <n v="2721"/>
    <x v="4"/>
    <s v="Trámites Nacionales"/>
    <s v="Otros"/>
    <n v="3"/>
  </r>
  <r>
    <s v="Yerba Buena"/>
    <x v="6"/>
    <n v="25"/>
    <n v="0"/>
    <n v="0"/>
    <n v="0"/>
    <n v="0"/>
    <n v="0"/>
    <n v="0"/>
    <n v="0"/>
    <n v="0"/>
    <n v="3"/>
    <n v="1"/>
    <n v="2"/>
    <n v="0"/>
    <n v="0"/>
    <n v="0"/>
    <n v="0"/>
    <n v="0"/>
    <n v="3"/>
    <x v="4"/>
    <s v="Comunidad"/>
    <s v="Otros"/>
    <n v="1"/>
  </r>
  <r>
    <s v="Yerba Buena"/>
    <x v="3"/>
    <n v="16"/>
    <n v="854"/>
    <n v="387"/>
    <n v="467"/>
    <n v="0"/>
    <n v="0"/>
    <n v="0"/>
    <n v="0"/>
    <n v="0"/>
    <n v="0"/>
    <n v="0"/>
    <n v="0"/>
    <n v="0"/>
    <n v="0"/>
    <n v="0"/>
    <n v="0"/>
    <n v="0"/>
    <n v="854"/>
    <x v="4"/>
    <s v="Complementos de la educación formal"/>
    <s v="Otros"/>
    <n v="2"/>
  </r>
  <r>
    <s v="Yerba Buena"/>
    <x v="4"/>
    <n v="22"/>
    <n v="921"/>
    <n v="574"/>
    <n v="347"/>
    <n v="0"/>
    <n v="2748"/>
    <n v="1468"/>
    <n v="1280"/>
    <n v="0"/>
    <n v="2743"/>
    <n v="1680"/>
    <n v="1063"/>
    <n v="0"/>
    <n v="2378"/>
    <n v="1447"/>
    <n v="931"/>
    <n v="0"/>
    <n v="8790"/>
    <x v="4"/>
    <s v="Trámites Nacionales"/>
    <s v="Potenciar Trabajo"/>
    <n v="5"/>
  </r>
  <r>
    <s v="Yerba Buena"/>
    <x v="8"/>
    <n v="19"/>
    <n v="0"/>
    <n v="0"/>
    <n v="0"/>
    <n v="0"/>
    <n v="0"/>
    <n v="0"/>
    <n v="0"/>
    <n v="0"/>
    <n v="6"/>
    <n v="5"/>
    <n v="1"/>
    <n v="0"/>
    <n v="0"/>
    <n v="0"/>
    <n v="0"/>
    <n v="0"/>
    <n v="6"/>
    <x v="4"/>
    <s v="Salud"/>
    <s v="Otros"/>
    <n v="1"/>
  </r>
  <r>
    <s v="Yerba Buena"/>
    <x v="7"/>
    <n v="13"/>
    <n v="0"/>
    <n v="0"/>
    <n v="0"/>
    <n v="0"/>
    <n v="5"/>
    <n v="2"/>
    <n v="3"/>
    <n v="0"/>
    <n v="12"/>
    <n v="9"/>
    <n v="3"/>
    <n v="0"/>
    <n v="0"/>
    <n v="0"/>
    <n v="0"/>
    <n v="0"/>
    <n v="17"/>
    <x v="4"/>
    <s v="Oficios digitales"/>
    <s v="Realidad Aumentada"/>
    <n v="1"/>
  </r>
  <r>
    <s v="Yerba Buena"/>
    <x v="3"/>
    <n v="16"/>
    <n v="157"/>
    <n v="95"/>
    <n v="62"/>
    <n v="0"/>
    <n v="25"/>
    <n v="9"/>
    <n v="16"/>
    <n v="0"/>
    <n v="0"/>
    <n v="0"/>
    <n v="0"/>
    <n v="0"/>
    <n v="0"/>
    <n v="0"/>
    <n v="0"/>
    <n v="0"/>
    <n v="182"/>
    <x v="4"/>
    <s v="Complementos de la educación formal"/>
    <s v="Apoyo escolar"/>
    <n v="1"/>
  </r>
  <r>
    <s v="Yerba Buena"/>
    <x v="4"/>
    <n v="22"/>
    <n v="680"/>
    <n v="408"/>
    <n v="272"/>
    <n v="0"/>
    <n v="3288"/>
    <n v="1673"/>
    <n v="1615"/>
    <n v="0"/>
    <n v="3216"/>
    <n v="2081"/>
    <n v="1135"/>
    <n v="0"/>
    <n v="1677"/>
    <n v="694"/>
    <n v="983"/>
    <n v="0"/>
    <n v="8861"/>
    <x v="4"/>
    <s v="Trámites Nacionales"/>
    <s v="Otros"/>
    <n v="4"/>
  </r>
  <r>
    <s v="Yerba Buena"/>
    <x v="6"/>
    <n v="25"/>
    <n v="0"/>
    <n v="0"/>
    <n v="0"/>
    <n v="0"/>
    <n v="0"/>
    <n v="0"/>
    <n v="0"/>
    <n v="0"/>
    <n v="5"/>
    <n v="2"/>
    <n v="3"/>
    <n v="0"/>
    <n v="0"/>
    <n v="0"/>
    <n v="0"/>
    <n v="0"/>
    <n v="5"/>
    <x v="4"/>
    <s v="Comunidad"/>
    <s v="Otros"/>
    <n v="2"/>
  </r>
  <r>
    <s v="Yerba Buena"/>
    <x v="1"/>
    <n v="34"/>
    <n v="0"/>
    <n v="0"/>
    <n v="0"/>
    <n v="0"/>
    <n v="7"/>
    <n v="2"/>
    <n v="5"/>
    <n v="0"/>
    <n v="1"/>
    <n v="1"/>
    <n v="0"/>
    <n v="0"/>
    <n v="0"/>
    <n v="0"/>
    <n v="0"/>
    <n v="0"/>
    <n v="8"/>
    <x v="4"/>
    <s v="Vinculación"/>
    <s v="NA"/>
    <n v="1"/>
  </r>
  <r>
    <s v="Yerba Buena"/>
    <x v="3"/>
    <n v="16"/>
    <n v="591"/>
    <n v="241"/>
    <n v="350"/>
    <n v="0"/>
    <n v="381"/>
    <n v="194"/>
    <n v="187"/>
    <n v="0"/>
    <n v="0"/>
    <n v="0"/>
    <n v="0"/>
    <n v="0"/>
    <n v="0"/>
    <n v="0"/>
    <n v="0"/>
    <n v="0"/>
    <n v="972"/>
    <x v="4"/>
    <s v="Complementos de la educación formal"/>
    <s v="Apoyo escolar"/>
    <n v="1"/>
  </r>
  <r>
    <s v="Yerba Buena"/>
    <x v="4"/>
    <n v="22"/>
    <n v="1635"/>
    <n v="905"/>
    <n v="730"/>
    <n v="0"/>
    <n v="3457"/>
    <n v="1852"/>
    <n v="1605"/>
    <n v="0"/>
    <n v="5004"/>
    <n v="3031"/>
    <n v="1973"/>
    <n v="0"/>
    <n v="1668"/>
    <n v="1053"/>
    <n v="615"/>
    <n v="0"/>
    <n v="11764"/>
    <x v="4"/>
    <s v="Trámites Nacionales"/>
    <s v="PROGRESAR"/>
    <n v="4"/>
  </r>
  <r>
    <s v="Yerba Buena"/>
    <x v="3"/>
    <n v="16"/>
    <n v="139"/>
    <n v="78"/>
    <n v="61"/>
    <n v="0"/>
    <n v="0"/>
    <n v="0"/>
    <n v="0"/>
    <n v="0"/>
    <n v="0"/>
    <n v="0"/>
    <n v="0"/>
    <n v="0"/>
    <n v="0"/>
    <n v="0"/>
    <n v="0"/>
    <n v="0"/>
    <n v="139"/>
    <x v="4"/>
    <s v="Complementos de la educación formal"/>
    <s v="Apoyo escolar"/>
    <n v="1"/>
  </r>
  <r>
    <s v="Yerba Buena"/>
    <x v="4"/>
    <n v="22"/>
    <n v="1825"/>
    <n v="1077"/>
    <n v="748"/>
    <n v="0"/>
    <n v="2597"/>
    <n v="1391"/>
    <n v="1206"/>
    <n v="0"/>
    <n v="2202"/>
    <n v="1618"/>
    <n v="584"/>
    <n v="0"/>
    <n v="1205"/>
    <n v="606"/>
    <n v="599"/>
    <n v="0"/>
    <n v="7829"/>
    <x v="4"/>
    <s v="Trámites Nacionales"/>
    <s v="Otros"/>
    <n v="4"/>
  </r>
  <r>
    <s v="Yerba Buena"/>
    <x v="3"/>
    <n v="16"/>
    <n v="400"/>
    <n v="194"/>
    <n v="206"/>
    <n v="0"/>
    <n v="121"/>
    <n v="94"/>
    <n v="27"/>
    <n v="0"/>
    <n v="0"/>
    <n v="0"/>
    <n v="0"/>
    <n v="0"/>
    <n v="0"/>
    <n v="0"/>
    <n v="0"/>
    <n v="0"/>
    <n v="521"/>
    <x v="4"/>
    <s v="Complementos de la educación formal"/>
    <s v="Apoyo escolar"/>
    <n v="1"/>
  </r>
  <r>
    <s v="Yerba Buena"/>
    <x v="4"/>
    <n v="22"/>
    <n v="675"/>
    <n v="350"/>
    <n v="325"/>
    <n v="0"/>
    <n v="1687"/>
    <n v="755"/>
    <n v="932"/>
    <n v="0"/>
    <n v="3051"/>
    <n v="1529"/>
    <n v="1522"/>
    <n v="0"/>
    <n v="1281"/>
    <n v="722"/>
    <n v="559"/>
    <n v="0"/>
    <n v="6694"/>
    <x v="4"/>
    <s v="Trámites Nacionales"/>
    <s v="Otros"/>
    <n v="4"/>
  </r>
  <r>
    <s v="Yerba Buena"/>
    <x v="6"/>
    <n v="25"/>
    <n v="0"/>
    <n v="0"/>
    <n v="0"/>
    <n v="0"/>
    <n v="0"/>
    <n v="0"/>
    <n v="0"/>
    <n v="0"/>
    <n v="3"/>
    <n v="3"/>
    <n v="0"/>
    <n v="0"/>
    <n v="0"/>
    <n v="0"/>
    <n v="0"/>
    <n v="0"/>
    <n v="3"/>
    <x v="4"/>
    <s v="Comunidad"/>
    <s v="Ciudadanía y Derechos Humanos"/>
    <n v="1"/>
  </r>
  <r>
    <s v="Yerba Buena"/>
    <x v="3"/>
    <n v="16"/>
    <n v="350"/>
    <n v="210"/>
    <n v="140"/>
    <n v="0"/>
    <n v="0"/>
    <n v="0"/>
    <n v="0"/>
    <n v="0"/>
    <n v="0"/>
    <n v="0"/>
    <n v="0"/>
    <n v="0"/>
    <n v="0"/>
    <n v="0"/>
    <n v="0"/>
    <n v="0"/>
    <n v="350"/>
    <x v="4"/>
    <s v="Complementos de la educación formal"/>
    <s v="Apoyo escolar"/>
    <n v="1"/>
  </r>
  <r>
    <s v="Yerba Buena"/>
    <x v="4"/>
    <n v="22"/>
    <n v="1185"/>
    <n v="644"/>
    <n v="541"/>
    <n v="0"/>
    <n v="1451"/>
    <n v="948"/>
    <n v="503"/>
    <n v="0"/>
    <n v="2593"/>
    <n v="1369"/>
    <n v="1224"/>
    <n v="0"/>
    <n v="3160"/>
    <n v="1791"/>
    <n v="1369"/>
    <n v="0"/>
    <n v="8389"/>
    <x v="4"/>
    <s v="Trámites Nacionales"/>
    <s v="Otros"/>
    <n v="4"/>
  </r>
  <r>
    <s v="Yerba Buena"/>
    <x v="2"/>
    <n v="31"/>
    <n v="36"/>
    <n v="0"/>
    <n v="36"/>
    <n v="0"/>
    <n v="0"/>
    <n v="0"/>
    <n v="0"/>
    <n v="0"/>
    <n v="0"/>
    <n v="0"/>
    <n v="0"/>
    <n v="0"/>
    <n v="0"/>
    <n v="0"/>
    <n v="0"/>
    <n v="0"/>
    <n v="36"/>
    <x v="4"/>
    <s v="Artes digitales"/>
    <s v="Deportes electrónicos"/>
    <n v="1"/>
  </r>
  <r>
    <s v="Yavi"/>
    <x v="1"/>
    <n v="34"/>
    <n v="45"/>
    <n v="25"/>
    <n v="20"/>
    <n v="0"/>
    <n v="38"/>
    <n v="20"/>
    <n v="18"/>
    <n v="0"/>
    <n v="30"/>
    <n v="16"/>
    <n v="14"/>
    <n v="0"/>
    <n v="0"/>
    <n v="0"/>
    <n v="0"/>
    <n v="0"/>
    <n v="113"/>
    <x v="3"/>
    <s v="Soporte"/>
    <s v="NA"/>
    <n v="2"/>
  </r>
  <r>
    <s v="Yavi"/>
    <x v="1"/>
    <n v="34"/>
    <n v="12"/>
    <n v="4"/>
    <n v="8"/>
    <n v="0"/>
    <n v="16"/>
    <n v="4"/>
    <n v="12"/>
    <n v="0"/>
    <n v="20"/>
    <n v="8"/>
    <n v="12"/>
    <n v="0"/>
    <n v="2"/>
    <n v="0"/>
    <n v="2"/>
    <n v="0"/>
    <n v="50"/>
    <x v="3"/>
    <s v="Contenidos"/>
    <s v="NA"/>
    <n v="1"/>
  </r>
  <r>
    <s v="Yavi"/>
    <x v="7"/>
    <n v="13"/>
    <n v="12"/>
    <n v="4"/>
    <n v="8"/>
    <n v="0"/>
    <n v="16"/>
    <n v="4"/>
    <n v="12"/>
    <n v="0"/>
    <n v="21"/>
    <n v="8"/>
    <n v="12"/>
    <n v="1"/>
    <n v="1"/>
    <n v="0"/>
    <n v="1"/>
    <n v="0"/>
    <n v="50"/>
    <x v="3"/>
    <s v="Oficios digitales"/>
    <s v="Otra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DB64-952F-439D-8A1C-F8FC5B1E670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4" firstHeaderRow="1" firstDataRow="2" firstDataCol="1"/>
  <pivotFields count="24">
    <pivotField showAll="0"/>
    <pivotField axis="axisRow" dataField="1" showAll="0">
      <items count="10">
        <item x="5"/>
        <item x="1"/>
        <item x="6"/>
        <item x="2"/>
        <item x="3"/>
        <item x="7"/>
        <item x="8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2"/>
        <item x="4"/>
        <item x="0"/>
        <item t="default"/>
      </items>
    </pivotField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eje" fld="1" subtotal="count" baseField="0" baseItem="0"/>
  </dataFields>
  <formats count="2">
    <format dxfId="1">
      <pivotArea collapsedLevelsAreSubtotals="1" fieldPosition="0">
        <references count="1">
          <reference field="1" count="0"/>
        </references>
      </pivotArea>
    </format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C4EB-0026-4504-817C-30E1B2750BB2}">
  <dimension ref="A1:AX11"/>
  <sheetViews>
    <sheetView tabSelected="1" zoomScaleNormal="100" workbookViewId="0">
      <selection sqref="A1:XFD1"/>
    </sheetView>
  </sheetViews>
  <sheetFormatPr baseColWidth="10" defaultRowHeight="14.4" x14ac:dyDescent="0.3"/>
  <cols>
    <col min="1" max="1" width="28.21875" customWidth="1"/>
    <col min="3" max="3" width="17" customWidth="1"/>
  </cols>
  <sheetData>
    <row r="1" spans="1:50" ht="43.8" customHeight="1" thickBot="1" x14ac:dyDescent="0.35">
      <c r="A1" s="22" t="s">
        <v>275</v>
      </c>
      <c r="B1" s="22" t="s">
        <v>113</v>
      </c>
      <c r="C1" s="22" t="s">
        <v>251</v>
      </c>
      <c r="D1" s="22" t="s">
        <v>129</v>
      </c>
      <c r="E1" s="22" t="s">
        <v>252</v>
      </c>
      <c r="F1" s="22" t="s">
        <v>139</v>
      </c>
      <c r="G1" s="22" t="s">
        <v>253</v>
      </c>
      <c r="H1" s="22" t="s">
        <v>146</v>
      </c>
      <c r="I1" s="22" t="s">
        <v>254</v>
      </c>
      <c r="J1" s="22" t="s">
        <v>155</v>
      </c>
      <c r="K1" s="22" t="s">
        <v>255</v>
      </c>
      <c r="L1" s="22" t="s">
        <v>162</v>
      </c>
      <c r="M1" s="22" t="s">
        <v>256</v>
      </c>
      <c r="N1" s="22" t="s">
        <v>170</v>
      </c>
      <c r="O1" s="22" t="s">
        <v>257</v>
      </c>
      <c r="P1" s="22" t="s">
        <v>179</v>
      </c>
      <c r="Q1" s="22" t="s">
        <v>258</v>
      </c>
      <c r="R1" s="22" t="s">
        <v>188</v>
      </c>
      <c r="S1" s="22" t="s">
        <v>259</v>
      </c>
      <c r="T1" s="22" t="s">
        <v>192</v>
      </c>
      <c r="U1" s="22" t="s">
        <v>260</v>
      </c>
      <c r="V1" s="22" t="s">
        <v>199</v>
      </c>
      <c r="W1" s="22" t="s">
        <v>261</v>
      </c>
      <c r="X1" s="22" t="s">
        <v>203</v>
      </c>
      <c r="Y1" s="22" t="s">
        <v>262</v>
      </c>
      <c r="Z1" s="22" t="s">
        <v>209</v>
      </c>
      <c r="AA1" s="22" t="s">
        <v>263</v>
      </c>
      <c r="AB1" s="22" t="s">
        <v>213</v>
      </c>
      <c r="AC1" s="22" t="s">
        <v>264</v>
      </c>
      <c r="AD1" s="22" t="s">
        <v>219</v>
      </c>
      <c r="AE1" s="22" t="s">
        <v>265</v>
      </c>
      <c r="AF1" s="22" t="s">
        <v>221</v>
      </c>
      <c r="AG1" s="22" t="s">
        <v>266</v>
      </c>
      <c r="AH1" s="22" t="s">
        <v>225</v>
      </c>
      <c r="AI1" s="22" t="s">
        <v>267</v>
      </c>
      <c r="AJ1" s="22" t="s">
        <v>231</v>
      </c>
      <c r="AK1" s="22" t="s">
        <v>268</v>
      </c>
      <c r="AL1" s="22" t="s">
        <v>232</v>
      </c>
      <c r="AM1" s="22" t="s">
        <v>269</v>
      </c>
      <c r="AN1" s="22" t="s">
        <v>235</v>
      </c>
      <c r="AO1" s="22" t="s">
        <v>270</v>
      </c>
      <c r="AP1" s="22" t="s">
        <v>236</v>
      </c>
      <c r="AQ1" s="22" t="s">
        <v>271</v>
      </c>
      <c r="AR1" s="22" t="s">
        <v>242</v>
      </c>
      <c r="AS1" s="22" t="s">
        <v>272</v>
      </c>
      <c r="AT1" s="22" t="s">
        <v>246</v>
      </c>
      <c r="AU1" s="22" t="s">
        <v>273</v>
      </c>
      <c r="AV1" s="22" t="s">
        <v>248</v>
      </c>
      <c r="AW1" s="22" t="s">
        <v>274</v>
      </c>
      <c r="AX1" s="22"/>
    </row>
    <row r="2" spans="1:50" ht="15" thickBot="1" x14ac:dyDescent="0.35">
      <c r="A2" s="23" t="s">
        <v>114</v>
      </c>
      <c r="B2" s="24">
        <v>517</v>
      </c>
      <c r="C2" s="25">
        <f>B2*100/B11</f>
        <v>13.868025751072961</v>
      </c>
      <c r="D2" s="26">
        <v>29</v>
      </c>
      <c r="E2" s="25">
        <f>D2*100/D11</f>
        <v>7.9452054794520546</v>
      </c>
      <c r="F2" s="24">
        <v>37</v>
      </c>
      <c r="G2" s="25">
        <f>F2*100/F11</f>
        <v>10.136986301369863</v>
      </c>
      <c r="H2" s="26">
        <v>62</v>
      </c>
      <c r="I2" s="25">
        <f>H2*100/H11</f>
        <v>12.375249500998004</v>
      </c>
      <c r="J2" s="24">
        <v>20</v>
      </c>
      <c r="K2" s="25">
        <f>J2*100/J11</f>
        <v>11.049723756906078</v>
      </c>
      <c r="L2" s="26">
        <v>152</v>
      </c>
      <c r="M2" s="25">
        <f>L2*100/L11</f>
        <v>8.8474970896391145</v>
      </c>
      <c r="N2" s="24">
        <v>66</v>
      </c>
      <c r="O2" s="25">
        <f>N2*100/N11</f>
        <v>10.64516129032258</v>
      </c>
      <c r="P2" s="26">
        <v>91</v>
      </c>
      <c r="Q2" s="25">
        <f>P2*100/P11</f>
        <v>12.052980132450331</v>
      </c>
      <c r="R2" s="24">
        <v>24</v>
      </c>
      <c r="S2" s="25">
        <f>R2*100/R11</f>
        <v>10.0418410041841</v>
      </c>
      <c r="T2" s="24">
        <v>85</v>
      </c>
      <c r="U2" s="25">
        <f>T2*100/T11</f>
        <v>12.57396449704142</v>
      </c>
      <c r="V2" s="26">
        <v>17</v>
      </c>
      <c r="W2" s="25">
        <f>V2*100/V11</f>
        <v>8.9947089947089953</v>
      </c>
      <c r="X2" s="24">
        <v>28</v>
      </c>
      <c r="Y2" s="25">
        <f>X2*100/X11</f>
        <v>9.9290780141843964</v>
      </c>
      <c r="Z2" s="26">
        <v>58</v>
      </c>
      <c r="AA2" s="25">
        <f>Z2*100/Z11</f>
        <v>11.6</v>
      </c>
      <c r="AB2" s="24">
        <v>43</v>
      </c>
      <c r="AC2" s="25">
        <f>AB2*100/AB11</f>
        <v>8.128544423440454</v>
      </c>
      <c r="AD2" s="26">
        <v>22</v>
      </c>
      <c r="AE2" s="25">
        <f>AD2*100/AD11</f>
        <v>10.328638497652582</v>
      </c>
      <c r="AF2" s="24">
        <v>37</v>
      </c>
      <c r="AG2" s="25">
        <f>AF2*100/AF11</f>
        <v>9.5607235142118867</v>
      </c>
      <c r="AH2" s="26">
        <v>40</v>
      </c>
      <c r="AI2" s="25">
        <f>AH2*100/AH11</f>
        <v>6.7226890756302522</v>
      </c>
      <c r="AJ2" s="24">
        <v>48</v>
      </c>
      <c r="AK2" s="25">
        <f>AJ2*100/AJ11</f>
        <v>15.894039735099337</v>
      </c>
      <c r="AL2" s="26">
        <v>24</v>
      </c>
      <c r="AM2" s="25">
        <f>AL2*100/AL11</f>
        <v>9.2664092664092657</v>
      </c>
      <c r="AN2" s="24">
        <v>24</v>
      </c>
      <c r="AO2" s="25">
        <f>AN2*100/AN11</f>
        <v>9.4117647058823533</v>
      </c>
      <c r="AP2" s="26">
        <v>172</v>
      </c>
      <c r="AQ2" s="25">
        <f>AP2*100/AP11</f>
        <v>12.835820895522389</v>
      </c>
      <c r="AR2" s="24">
        <v>18</v>
      </c>
      <c r="AS2" s="25">
        <f>AR2*100/AR11</f>
        <v>9.0909090909090917</v>
      </c>
      <c r="AT2" s="26">
        <v>10</v>
      </c>
      <c r="AU2" s="25">
        <f>AT2*100/AT11</f>
        <v>13.157894736842104</v>
      </c>
      <c r="AV2" s="26">
        <v>65</v>
      </c>
      <c r="AW2" s="25">
        <f>AV2*100/AV11</f>
        <v>13</v>
      </c>
    </row>
    <row r="3" spans="1:50" ht="15" thickBot="1" x14ac:dyDescent="0.35">
      <c r="A3" s="27" t="s">
        <v>116</v>
      </c>
      <c r="B3" s="26">
        <v>213</v>
      </c>
      <c r="C3" s="25">
        <f>B3*100/B11</f>
        <v>5.7135193133047206</v>
      </c>
      <c r="D3" s="24">
        <v>34</v>
      </c>
      <c r="E3" s="25">
        <f>D3*100/D11</f>
        <v>9.3150684931506849</v>
      </c>
      <c r="F3" s="26">
        <v>18</v>
      </c>
      <c r="G3" s="25">
        <f>F3*100/F11</f>
        <v>4.9315068493150687</v>
      </c>
      <c r="H3" s="24">
        <v>33</v>
      </c>
      <c r="I3" s="25">
        <f>H3*100/H11</f>
        <v>6.5868263473053892</v>
      </c>
      <c r="J3" s="26">
        <v>18</v>
      </c>
      <c r="K3" s="25">
        <f>J3*100/J11</f>
        <v>9.94475138121547</v>
      </c>
      <c r="L3" s="24">
        <v>108</v>
      </c>
      <c r="M3" s="25">
        <f>L3*100/L11</f>
        <v>6.286379511059371</v>
      </c>
      <c r="N3" s="26">
        <v>41</v>
      </c>
      <c r="O3" s="25">
        <f>N3*100/N11</f>
        <v>6.612903225806452</v>
      </c>
      <c r="P3" s="24">
        <v>30</v>
      </c>
      <c r="Q3" s="25">
        <f>P3*100/P11</f>
        <v>3.9735099337748343</v>
      </c>
      <c r="R3" s="26">
        <v>12</v>
      </c>
      <c r="S3" s="25">
        <f>R3*100/R11</f>
        <v>5.02092050209205</v>
      </c>
      <c r="T3" s="26">
        <v>79</v>
      </c>
      <c r="U3" s="25">
        <f>T3*100/T11</f>
        <v>11.68639053254438</v>
      </c>
      <c r="V3" s="24">
        <v>16</v>
      </c>
      <c r="W3" s="25">
        <f>V3*100/V11</f>
        <v>8.4656084656084651</v>
      </c>
      <c r="X3" s="26">
        <v>17</v>
      </c>
      <c r="Y3" s="25">
        <f>X3*100/X11</f>
        <v>6.0283687943262407</v>
      </c>
      <c r="Z3" s="24">
        <v>43</v>
      </c>
      <c r="AA3" s="25">
        <f>Z3*100/Z11</f>
        <v>8.6</v>
      </c>
      <c r="AB3" s="26">
        <v>30</v>
      </c>
      <c r="AC3" s="25">
        <f>AB3*100/AB11</f>
        <v>5.6710775047258979</v>
      </c>
      <c r="AD3" s="24">
        <v>16</v>
      </c>
      <c r="AE3" s="25">
        <f>AD3*100/AD11</f>
        <v>7.511737089201878</v>
      </c>
      <c r="AF3" s="26">
        <v>27</v>
      </c>
      <c r="AG3" s="25">
        <f>AF3*100/AF11</f>
        <v>6.9767441860465116</v>
      </c>
      <c r="AH3" s="24">
        <v>37</v>
      </c>
      <c r="AI3" s="25">
        <f>AH3*100/AH11</f>
        <v>6.2184873949579833</v>
      </c>
      <c r="AJ3" s="26">
        <v>28</v>
      </c>
      <c r="AK3" s="25">
        <f>AJ3*100/AJ11</f>
        <v>9.2715231788079464</v>
      </c>
      <c r="AL3" s="24">
        <v>17</v>
      </c>
      <c r="AM3" s="25">
        <f>AL3*100/AL11</f>
        <v>6.5637065637065639</v>
      </c>
      <c r="AN3" s="26">
        <v>23</v>
      </c>
      <c r="AO3" s="25">
        <f>AN3*100/AN11</f>
        <v>9.0196078431372548</v>
      </c>
      <c r="AP3" s="24">
        <v>43</v>
      </c>
      <c r="AQ3" s="25">
        <f>AP3*100/AP11</f>
        <v>3.2089552238805972</v>
      </c>
      <c r="AR3" s="26">
        <v>19</v>
      </c>
      <c r="AS3" s="25">
        <f>AR3*100/AR11</f>
        <v>9.5959595959595951</v>
      </c>
      <c r="AT3" s="24">
        <v>9</v>
      </c>
      <c r="AU3" s="25">
        <f>AT3*100/AT11</f>
        <v>11.842105263157896</v>
      </c>
      <c r="AV3" s="24">
        <v>47</v>
      </c>
      <c r="AW3" s="25">
        <f>AV3*100/AV11</f>
        <v>9.4</v>
      </c>
    </row>
    <row r="4" spans="1:50" ht="15" thickBot="1" x14ac:dyDescent="0.35">
      <c r="A4" s="23" t="s">
        <v>118</v>
      </c>
      <c r="B4" s="24">
        <v>383</v>
      </c>
      <c r="C4" s="25">
        <f>B4*100/B11</f>
        <v>10.273605150214593</v>
      </c>
      <c r="D4" s="26">
        <v>37</v>
      </c>
      <c r="E4" s="25">
        <f>D4*100/D11</f>
        <v>10.136986301369863</v>
      </c>
      <c r="F4" s="24">
        <v>35</v>
      </c>
      <c r="G4" s="25">
        <f>F4*100/F11</f>
        <v>9.5890410958904102</v>
      </c>
      <c r="H4" s="26">
        <v>79</v>
      </c>
      <c r="I4" s="25">
        <f>H4*100/H11</f>
        <v>15.768463073852296</v>
      </c>
      <c r="J4" s="24">
        <v>3</v>
      </c>
      <c r="K4" s="25">
        <f>J4*100/J11</f>
        <v>1.6574585635359116</v>
      </c>
      <c r="L4" s="26">
        <v>154</v>
      </c>
      <c r="M4" s="25">
        <f>L4*100/L11</f>
        <v>8.9639115250291042</v>
      </c>
      <c r="N4" s="24">
        <v>68</v>
      </c>
      <c r="O4" s="25">
        <f>N4*100/N11</f>
        <v>10.96774193548387</v>
      </c>
      <c r="P4" s="26">
        <v>83</v>
      </c>
      <c r="Q4" s="25">
        <f>P4*100/P11</f>
        <v>10.993377483443709</v>
      </c>
      <c r="R4" s="24">
        <v>26</v>
      </c>
      <c r="S4" s="25">
        <f>R4*100/R11</f>
        <v>10.878661087866108</v>
      </c>
      <c r="T4" s="24">
        <v>70</v>
      </c>
      <c r="U4" s="25">
        <f>T4*100/T11</f>
        <v>10.355029585798816</v>
      </c>
      <c r="V4" s="26">
        <v>16</v>
      </c>
      <c r="W4" s="25">
        <f>V4*100/V11</f>
        <v>8.4656084656084651</v>
      </c>
      <c r="X4" s="24">
        <v>35</v>
      </c>
      <c r="Y4" s="25">
        <f>X4*100/X11</f>
        <v>12.411347517730496</v>
      </c>
      <c r="Z4" s="26">
        <v>63</v>
      </c>
      <c r="AA4" s="25">
        <f>Z4*100/Z11</f>
        <v>12.6</v>
      </c>
      <c r="AB4" s="24">
        <v>61</v>
      </c>
      <c r="AC4" s="25">
        <f>AB4*100/AB11</f>
        <v>11.531190926275993</v>
      </c>
      <c r="AD4" s="26">
        <v>34</v>
      </c>
      <c r="AE4" s="25">
        <f>AD4*100/AD11</f>
        <v>15.96244131455399</v>
      </c>
      <c r="AF4" s="24">
        <v>31</v>
      </c>
      <c r="AG4" s="25">
        <f>AF4*100/AF11</f>
        <v>8.0103359173126609</v>
      </c>
      <c r="AH4" s="26">
        <v>69</v>
      </c>
      <c r="AI4" s="25">
        <f>AH4*100/AH11</f>
        <v>11.596638655462185</v>
      </c>
      <c r="AJ4" s="24">
        <v>20</v>
      </c>
      <c r="AK4" s="25">
        <f>AJ4*100/AJ11</f>
        <v>6.6225165562913908</v>
      </c>
      <c r="AL4" s="26">
        <v>29</v>
      </c>
      <c r="AM4" s="25">
        <f>AL4*100/AL11</f>
        <v>11.196911196911197</v>
      </c>
      <c r="AN4" s="24">
        <v>29</v>
      </c>
      <c r="AO4" s="25">
        <f>AN4*100/AN11</f>
        <v>11.372549019607844</v>
      </c>
      <c r="AP4" s="26">
        <v>133</v>
      </c>
      <c r="AQ4" s="25">
        <f>AP4*100/AP11</f>
        <v>9.9253731343283587</v>
      </c>
      <c r="AR4" s="24">
        <v>24</v>
      </c>
      <c r="AS4" s="25">
        <f>AR4*100/AR11</f>
        <v>12.121212121212121</v>
      </c>
      <c r="AT4" s="26">
        <v>5</v>
      </c>
      <c r="AU4" s="25">
        <f>AT4*100/AT11</f>
        <v>6.5789473684210522</v>
      </c>
      <c r="AV4" s="26">
        <v>61</v>
      </c>
      <c r="AW4" s="25">
        <f>AV4*100/AV11</f>
        <v>12.2</v>
      </c>
    </row>
    <row r="5" spans="1:50" ht="15" thickBot="1" x14ac:dyDescent="0.35">
      <c r="A5" s="27" t="s">
        <v>120</v>
      </c>
      <c r="B5" s="26">
        <v>594</v>
      </c>
      <c r="C5" s="25">
        <f>B5*100/B11</f>
        <v>15.933476394849786</v>
      </c>
      <c r="D5" s="24">
        <v>71</v>
      </c>
      <c r="E5" s="25">
        <f>D5*100/D11</f>
        <v>19.452054794520549</v>
      </c>
      <c r="F5" s="26">
        <v>67</v>
      </c>
      <c r="G5" s="25">
        <f>F5*100/F11</f>
        <v>18.356164383561644</v>
      </c>
      <c r="H5" s="24">
        <v>92</v>
      </c>
      <c r="I5" s="25">
        <f>H5*100/H11</f>
        <v>18.363273453093811</v>
      </c>
      <c r="J5" s="26">
        <v>40</v>
      </c>
      <c r="K5" s="25">
        <f>J5*100/J11</f>
        <v>22.099447513812155</v>
      </c>
      <c r="L5" s="24">
        <v>371</v>
      </c>
      <c r="M5" s="25">
        <f>L5*100/L11</f>
        <v>21.594877764842842</v>
      </c>
      <c r="N5" s="26">
        <v>127</v>
      </c>
      <c r="O5" s="25">
        <f>N5*100/N11</f>
        <v>20.483870967741936</v>
      </c>
      <c r="P5" s="24">
        <v>144</v>
      </c>
      <c r="Q5" s="25">
        <f>P5*100/P11</f>
        <v>19.072847682119207</v>
      </c>
      <c r="R5" s="26">
        <v>70</v>
      </c>
      <c r="S5" s="25">
        <f>R5*100/R11</f>
        <v>29.288702928870293</v>
      </c>
      <c r="T5" s="26">
        <v>125</v>
      </c>
      <c r="U5" s="25">
        <f>T5*100/T11</f>
        <v>18.491124260355029</v>
      </c>
      <c r="V5" s="24">
        <v>37</v>
      </c>
      <c r="W5" s="25">
        <f>V5*100/V11</f>
        <v>19.576719576719576</v>
      </c>
      <c r="X5" s="26">
        <v>55</v>
      </c>
      <c r="Y5" s="25">
        <f>X5*100/X11</f>
        <v>19.50354609929078</v>
      </c>
      <c r="Z5" s="24">
        <v>78</v>
      </c>
      <c r="AA5" s="25">
        <f>Z5*100/Z11</f>
        <v>15.6</v>
      </c>
      <c r="AB5" s="26">
        <v>101</v>
      </c>
      <c r="AC5" s="25">
        <f>AB5*100/AB11</f>
        <v>19.092627599243855</v>
      </c>
      <c r="AD5" s="24">
        <v>29</v>
      </c>
      <c r="AE5" s="25">
        <f>AD5*100/AD11</f>
        <v>13.615023474178404</v>
      </c>
      <c r="AF5" s="26">
        <v>79</v>
      </c>
      <c r="AG5" s="25">
        <f>AF5*100/AF11</f>
        <v>20.413436692506458</v>
      </c>
      <c r="AH5" s="24">
        <v>121</v>
      </c>
      <c r="AI5" s="25">
        <f>AH5*100/AH11</f>
        <v>20.336134453781511</v>
      </c>
      <c r="AJ5" s="26">
        <v>63</v>
      </c>
      <c r="AK5" s="25">
        <f>AJ5*100/AJ11</f>
        <v>20.860927152317881</v>
      </c>
      <c r="AL5" s="24">
        <v>56</v>
      </c>
      <c r="AM5" s="25">
        <f>AL5*100/AL11</f>
        <v>21.621621621621621</v>
      </c>
      <c r="AN5" s="26">
        <v>59</v>
      </c>
      <c r="AO5" s="25">
        <f>AN5*100/AN11</f>
        <v>23.137254901960784</v>
      </c>
      <c r="AP5" s="24">
        <v>223</v>
      </c>
      <c r="AQ5" s="25">
        <f>AP5*100/AP11</f>
        <v>16.64179104477612</v>
      </c>
      <c r="AR5" s="26">
        <v>36</v>
      </c>
      <c r="AS5" s="25">
        <f>AR5*100/AR11</f>
        <v>18.181818181818183</v>
      </c>
      <c r="AT5" s="24">
        <v>20</v>
      </c>
      <c r="AU5" s="25">
        <f>AT5*100/AT11</f>
        <v>26.315789473684209</v>
      </c>
      <c r="AV5" s="24">
        <v>94</v>
      </c>
      <c r="AW5" s="25">
        <f>AV5*100/AV11</f>
        <v>18.8</v>
      </c>
    </row>
    <row r="6" spans="1:50" ht="15" thickBot="1" x14ac:dyDescent="0.35">
      <c r="A6" s="23" t="s">
        <v>44</v>
      </c>
      <c r="B6" s="24">
        <v>482</v>
      </c>
      <c r="C6" s="25">
        <f>B6*100/B11</f>
        <v>12.929184549356224</v>
      </c>
      <c r="D6" s="26">
        <v>57</v>
      </c>
      <c r="E6" s="25">
        <f>D6*100/D11</f>
        <v>15.616438356164384</v>
      </c>
      <c r="F6" s="24">
        <v>51</v>
      </c>
      <c r="G6" s="25">
        <f>F6*100/F11</f>
        <v>13.972602739726028</v>
      </c>
      <c r="H6" s="26">
        <v>46</v>
      </c>
      <c r="I6" s="25">
        <f>H6*100/H11</f>
        <v>9.1816367265469054</v>
      </c>
      <c r="J6" s="24">
        <v>43</v>
      </c>
      <c r="K6" s="25">
        <f>J6*100/J11</f>
        <v>23.756906077348066</v>
      </c>
      <c r="L6" s="26">
        <v>213</v>
      </c>
      <c r="M6" s="25">
        <f>L6*100/L11</f>
        <v>12.39813736903376</v>
      </c>
      <c r="N6" s="24">
        <v>90</v>
      </c>
      <c r="O6" s="25">
        <f>N6*100/N11</f>
        <v>14.516129032258064</v>
      </c>
      <c r="P6" s="26">
        <v>107</v>
      </c>
      <c r="Q6" s="25">
        <f>P6*100/P11</f>
        <v>14.172185430463577</v>
      </c>
      <c r="R6" s="24">
        <v>23</v>
      </c>
      <c r="S6" s="25">
        <f>R6*100/R11</f>
        <v>9.6234309623430967</v>
      </c>
      <c r="T6" s="24">
        <v>124</v>
      </c>
      <c r="U6" s="25">
        <f>T6*100/T11</f>
        <v>18.34319526627219</v>
      </c>
      <c r="V6" s="26">
        <v>29</v>
      </c>
      <c r="W6" s="25">
        <f>V6*100/V11</f>
        <v>15.343915343915343</v>
      </c>
      <c r="X6" s="24">
        <v>32</v>
      </c>
      <c r="Y6" s="25">
        <f>X6*100/X11</f>
        <v>11.347517730496454</v>
      </c>
      <c r="Z6" s="26">
        <v>84</v>
      </c>
      <c r="AA6" s="25">
        <f>Z6*100/Z11</f>
        <v>16.8</v>
      </c>
      <c r="AB6" s="24">
        <v>99</v>
      </c>
      <c r="AC6" s="25">
        <f>AB6*100/AB11</f>
        <v>18.714555765595463</v>
      </c>
      <c r="AD6" s="26">
        <v>33</v>
      </c>
      <c r="AE6" s="25">
        <f>AD6*100/AD11</f>
        <v>15.492957746478874</v>
      </c>
      <c r="AF6" s="24">
        <v>34</v>
      </c>
      <c r="AG6" s="25">
        <f>AF6*100/AF11</f>
        <v>8.7855297157622747</v>
      </c>
      <c r="AH6" s="26">
        <v>111</v>
      </c>
      <c r="AI6" s="25">
        <f>AH6*100/AH11</f>
        <v>18.655462184873951</v>
      </c>
      <c r="AJ6" s="24">
        <v>29</v>
      </c>
      <c r="AK6" s="25">
        <f>AJ6*100/AJ11</f>
        <v>9.6026490066225172</v>
      </c>
      <c r="AL6" s="26">
        <v>48</v>
      </c>
      <c r="AM6" s="25">
        <f>AL6*100/AL11</f>
        <v>18.532818532818531</v>
      </c>
      <c r="AN6" s="24">
        <v>48</v>
      </c>
      <c r="AO6" s="25">
        <f>AN6*100/AN11</f>
        <v>18.823529411764707</v>
      </c>
      <c r="AP6" s="26">
        <v>213</v>
      </c>
      <c r="AQ6" s="25">
        <f>AP6*100/AP11</f>
        <v>15.895522388059701</v>
      </c>
      <c r="AR6" s="24">
        <v>36</v>
      </c>
      <c r="AS6" s="25">
        <f>AR6*100/AR11</f>
        <v>18.181818181818183</v>
      </c>
      <c r="AT6" s="26">
        <v>8</v>
      </c>
      <c r="AU6" s="25">
        <f>AT6*100/AT11</f>
        <v>10.526315789473685</v>
      </c>
      <c r="AV6" s="26">
        <v>65</v>
      </c>
      <c r="AW6" s="25">
        <f>AV6*100/AV11</f>
        <v>13</v>
      </c>
    </row>
    <row r="7" spans="1:50" ht="15" thickBot="1" x14ac:dyDescent="0.35">
      <c r="A7" s="27" t="s">
        <v>123</v>
      </c>
      <c r="B7" s="26">
        <v>414</v>
      </c>
      <c r="C7" s="25">
        <f>B7*100/B11</f>
        <v>11.105150214592275</v>
      </c>
      <c r="D7" s="24">
        <v>48</v>
      </c>
      <c r="E7" s="25">
        <f>D7*100/D11</f>
        <v>13.150684931506849</v>
      </c>
      <c r="F7" s="26">
        <v>37</v>
      </c>
      <c r="G7" s="25">
        <f>F7*100/F11</f>
        <v>10.136986301369863</v>
      </c>
      <c r="H7" s="24">
        <v>63</v>
      </c>
      <c r="I7" s="25">
        <f>H7*100/H11</f>
        <v>12.574850299401197</v>
      </c>
      <c r="J7" s="26">
        <v>20</v>
      </c>
      <c r="K7" s="25">
        <f>J7*100/J11</f>
        <v>11.049723756906078</v>
      </c>
      <c r="L7" s="24">
        <v>179</v>
      </c>
      <c r="M7" s="25">
        <f>L7*100/L11</f>
        <v>10.419091967403958</v>
      </c>
      <c r="N7" s="26">
        <v>52</v>
      </c>
      <c r="O7" s="25">
        <f>N7*100/N11</f>
        <v>8.387096774193548</v>
      </c>
      <c r="P7" s="24">
        <v>101</v>
      </c>
      <c r="Q7" s="25">
        <f>P7*100/P11</f>
        <v>13.377483443708609</v>
      </c>
      <c r="R7" s="26">
        <v>22</v>
      </c>
      <c r="S7" s="25">
        <f>R7*100/R11</f>
        <v>9.2050209205020916</v>
      </c>
      <c r="T7" s="26">
        <v>65</v>
      </c>
      <c r="U7" s="25">
        <f>T7*100/T11</f>
        <v>9.615384615384615</v>
      </c>
      <c r="V7" s="24">
        <v>24</v>
      </c>
      <c r="W7" s="25">
        <f>V7*100/V11</f>
        <v>12.698412698412698</v>
      </c>
      <c r="X7" s="26">
        <v>24</v>
      </c>
      <c r="Y7" s="25">
        <f>X7*100/X11</f>
        <v>8.5106382978723403</v>
      </c>
      <c r="Z7" s="24">
        <v>57</v>
      </c>
      <c r="AA7" s="25">
        <f>Z7*100/Z11</f>
        <v>11.4</v>
      </c>
      <c r="AB7" s="26">
        <v>53</v>
      </c>
      <c r="AC7" s="25">
        <f>AB7*100/AB11</f>
        <v>10.01890359168242</v>
      </c>
      <c r="AD7" s="24">
        <v>23</v>
      </c>
      <c r="AE7" s="25">
        <f>AD7*100/AD11</f>
        <v>10.7981220657277</v>
      </c>
      <c r="AF7" s="26">
        <v>59</v>
      </c>
      <c r="AG7" s="25">
        <f>AF7*100/AF11</f>
        <v>15.24547803617571</v>
      </c>
      <c r="AH7" s="24">
        <v>76</v>
      </c>
      <c r="AI7" s="25">
        <f>AH7*100/AH11</f>
        <v>12.77310924369748</v>
      </c>
      <c r="AJ7" s="26">
        <v>23</v>
      </c>
      <c r="AK7" s="25">
        <f>AJ7*100/AJ11</f>
        <v>7.6158940397350996</v>
      </c>
      <c r="AL7" s="24">
        <v>17</v>
      </c>
      <c r="AM7" s="25">
        <f>AL7*100/AL11</f>
        <v>6.5637065637065639</v>
      </c>
      <c r="AN7" s="26">
        <v>17</v>
      </c>
      <c r="AO7" s="25">
        <f>AN7*100/AN11</f>
        <v>6.666666666666667</v>
      </c>
      <c r="AP7" s="24">
        <v>163</v>
      </c>
      <c r="AQ7" s="25">
        <f>AP7*100/AP11</f>
        <v>12.164179104477611</v>
      </c>
      <c r="AR7" s="26">
        <v>7</v>
      </c>
      <c r="AS7" s="25">
        <f>AR7*100/AR11</f>
        <v>3.5353535353535355</v>
      </c>
      <c r="AT7" s="24">
        <v>8</v>
      </c>
      <c r="AU7" s="25">
        <f>AT7*100/AT11</f>
        <v>10.526315789473685</v>
      </c>
      <c r="AV7" s="24">
        <v>65</v>
      </c>
      <c r="AW7" s="25">
        <f>AV7*100/AV11</f>
        <v>13</v>
      </c>
    </row>
    <row r="8" spans="1:50" ht="15" thickBot="1" x14ac:dyDescent="0.35">
      <c r="A8" s="23" t="s">
        <v>125</v>
      </c>
      <c r="B8" s="24">
        <v>92</v>
      </c>
      <c r="C8" s="25">
        <f>B8*100/B11</f>
        <v>2.4678111587982832</v>
      </c>
      <c r="D8" s="26">
        <v>3</v>
      </c>
      <c r="E8" s="25">
        <f>D8*100/D11</f>
        <v>0.82191780821917804</v>
      </c>
      <c r="F8" s="24">
        <v>12</v>
      </c>
      <c r="G8" s="25">
        <f>F8*100/F11</f>
        <v>3.2876712328767121</v>
      </c>
      <c r="H8" s="26">
        <v>15</v>
      </c>
      <c r="I8" s="25">
        <f>H8*100/H11</f>
        <v>2.9940119760479043</v>
      </c>
      <c r="J8" s="24">
        <v>2</v>
      </c>
      <c r="K8" s="25">
        <f>J8*100/J11</f>
        <v>1.1049723756906078</v>
      </c>
      <c r="L8" s="26">
        <v>27</v>
      </c>
      <c r="M8" s="25">
        <f>L8*100/L11</f>
        <v>1.5715948777648427</v>
      </c>
      <c r="N8" s="24">
        <v>6</v>
      </c>
      <c r="O8" s="25">
        <f>N8*100/N11</f>
        <v>0.967741935483871</v>
      </c>
      <c r="P8" s="26">
        <v>12</v>
      </c>
      <c r="Q8" s="25">
        <f>P8*100/P11</f>
        <v>1.5894039735099337</v>
      </c>
      <c r="R8" s="24">
        <v>11</v>
      </c>
      <c r="S8" s="25">
        <f>R8*100/R11</f>
        <v>4.6025104602510458</v>
      </c>
      <c r="T8" s="24">
        <v>13</v>
      </c>
      <c r="U8" s="25">
        <f>T8*100/T11</f>
        <v>1.9230769230769231</v>
      </c>
      <c r="V8" s="26">
        <v>2</v>
      </c>
      <c r="W8" s="25">
        <f>V8*100/V11</f>
        <v>1.0582010582010581</v>
      </c>
      <c r="X8" s="24">
        <v>1</v>
      </c>
      <c r="Y8" s="25">
        <f>X8*100/X11</f>
        <v>0.3546099290780142</v>
      </c>
      <c r="Z8" s="26">
        <v>18</v>
      </c>
      <c r="AA8" s="25">
        <f>Z8*100/Z11</f>
        <v>3.6</v>
      </c>
      <c r="AB8" s="24">
        <v>8</v>
      </c>
      <c r="AC8" s="25">
        <f>AB8*100/AB11</f>
        <v>1.5122873345935728</v>
      </c>
      <c r="AD8" s="26">
        <v>2</v>
      </c>
      <c r="AE8" s="25">
        <f>AD8*100/AD11</f>
        <v>0.93896713615023475</v>
      </c>
      <c r="AF8" s="24">
        <v>8</v>
      </c>
      <c r="AG8" s="25">
        <f>AF8*100/AF11</f>
        <v>2.0671834625322996</v>
      </c>
      <c r="AH8" s="26">
        <v>10</v>
      </c>
      <c r="AI8" s="25">
        <f>AH8*100/AH11</f>
        <v>1.680672268907563</v>
      </c>
      <c r="AJ8" s="24">
        <v>1</v>
      </c>
      <c r="AK8" s="25">
        <f>AJ8*100/AJ11</f>
        <v>0.33112582781456956</v>
      </c>
      <c r="AL8" s="26">
        <v>4</v>
      </c>
      <c r="AM8" s="25">
        <f>AL8*100/AL11</f>
        <v>1.5444015444015444</v>
      </c>
      <c r="AN8" s="24">
        <v>7</v>
      </c>
      <c r="AO8" s="25">
        <f>AN8*100/AN11</f>
        <v>2.7450980392156863</v>
      </c>
      <c r="AP8" s="26">
        <v>16</v>
      </c>
      <c r="AQ8" s="25">
        <f>AP8*100/AP11</f>
        <v>1.1940298507462686</v>
      </c>
      <c r="AR8" s="24">
        <v>3</v>
      </c>
      <c r="AS8" s="25">
        <f>AR8*100/AR11</f>
        <v>1.5151515151515151</v>
      </c>
      <c r="AT8" s="26">
        <v>1</v>
      </c>
      <c r="AU8" s="25">
        <f>AT8*100/AT11</f>
        <v>1.3157894736842106</v>
      </c>
      <c r="AV8" s="26">
        <v>5</v>
      </c>
      <c r="AW8" s="25">
        <f>AV8*100/AV11</f>
        <v>1</v>
      </c>
    </row>
    <row r="9" spans="1:50" ht="15" thickBot="1" x14ac:dyDescent="0.35">
      <c r="A9" s="27" t="s">
        <v>74</v>
      </c>
      <c r="B9" s="26">
        <v>246</v>
      </c>
      <c r="C9" s="25">
        <f>B9*100/B11</f>
        <v>6.5987124463519313</v>
      </c>
      <c r="D9" s="24">
        <v>22</v>
      </c>
      <c r="E9" s="25">
        <f>D9*100/D11</f>
        <v>6.0273972602739727</v>
      </c>
      <c r="F9" s="26">
        <v>12</v>
      </c>
      <c r="G9" s="25">
        <f>F9*100/F11</f>
        <v>3.2876712328767121</v>
      </c>
      <c r="H9" s="24">
        <v>24</v>
      </c>
      <c r="I9" s="25">
        <f>H9*100/H11</f>
        <v>4.7904191616766463</v>
      </c>
      <c r="J9" s="26">
        <v>9</v>
      </c>
      <c r="K9" s="25">
        <f>J9*100/J11</f>
        <v>4.972375690607735</v>
      </c>
      <c r="L9" s="24">
        <v>96</v>
      </c>
      <c r="M9" s="25">
        <f>L9*100/L11</f>
        <v>5.5878928987194412</v>
      </c>
      <c r="N9" s="26">
        <v>35</v>
      </c>
      <c r="O9" s="25">
        <f>N9*100/N11</f>
        <v>5.645161290322581</v>
      </c>
      <c r="P9" s="24">
        <v>49</v>
      </c>
      <c r="Q9" s="25">
        <f>P9*100/P11</f>
        <v>6.4900662251655632</v>
      </c>
      <c r="R9" s="28"/>
      <c r="S9" s="25">
        <f>R9*100/R11</f>
        <v>0</v>
      </c>
      <c r="T9" s="26">
        <v>22</v>
      </c>
      <c r="U9" s="25">
        <f>T9*100/T11</f>
        <v>3.2544378698224854</v>
      </c>
      <c r="V9" s="24">
        <v>7</v>
      </c>
      <c r="W9" s="25">
        <f>V9*100/V11</f>
        <v>3.7037037037037037</v>
      </c>
      <c r="X9" s="26">
        <v>16</v>
      </c>
      <c r="Y9" s="25">
        <f>X9*100/X11</f>
        <v>5.6737588652482271</v>
      </c>
      <c r="Z9" s="24">
        <v>33</v>
      </c>
      <c r="AA9" s="25">
        <f>Z9*100/Z11</f>
        <v>6.6</v>
      </c>
      <c r="AB9" s="26">
        <v>11</v>
      </c>
      <c r="AC9" s="25">
        <f>AB9*100/AB11</f>
        <v>2.0793950850661624</v>
      </c>
      <c r="AD9" s="24">
        <v>12</v>
      </c>
      <c r="AE9" s="25">
        <f>AD9*100/AD11</f>
        <v>5.6338028169014081</v>
      </c>
      <c r="AF9" s="26">
        <v>18</v>
      </c>
      <c r="AG9" s="25">
        <f>AF9*100/AF11</f>
        <v>4.6511627906976747</v>
      </c>
      <c r="AH9" s="24">
        <v>37</v>
      </c>
      <c r="AI9" s="25">
        <f>AH9*100/AH11</f>
        <v>6.2184873949579833</v>
      </c>
      <c r="AJ9" s="26">
        <v>20</v>
      </c>
      <c r="AK9" s="25">
        <f>AJ9*100/AJ11</f>
        <v>6.6225165562913908</v>
      </c>
      <c r="AL9" s="24">
        <v>13</v>
      </c>
      <c r="AM9" s="25">
        <f>AL9*100/AL11</f>
        <v>5.019305019305019</v>
      </c>
      <c r="AN9" s="26">
        <v>18</v>
      </c>
      <c r="AO9" s="25">
        <f>AN9*100/AN11</f>
        <v>7.0588235294117645</v>
      </c>
      <c r="AP9" s="24">
        <v>91</v>
      </c>
      <c r="AQ9" s="25">
        <f>AP9*100/AP11</f>
        <v>6.7910447761194028</v>
      </c>
      <c r="AR9" s="26">
        <v>11</v>
      </c>
      <c r="AS9" s="25">
        <f>AR9*100/AR11</f>
        <v>5.5555555555555554</v>
      </c>
      <c r="AT9" s="28"/>
      <c r="AU9" s="25">
        <f>AT9*100/AT11</f>
        <v>0</v>
      </c>
      <c r="AV9" s="24">
        <v>7</v>
      </c>
      <c r="AW9" s="25">
        <f>AV9*100/AV11</f>
        <v>1.4</v>
      </c>
    </row>
    <row r="10" spans="1:50" ht="15" thickBot="1" x14ac:dyDescent="0.35">
      <c r="A10" s="23" t="s">
        <v>38</v>
      </c>
      <c r="B10" s="24">
        <v>787</v>
      </c>
      <c r="C10" s="25">
        <f>B10*100/B11</f>
        <v>21.110515021459229</v>
      </c>
      <c r="D10" s="26">
        <v>64</v>
      </c>
      <c r="E10" s="25">
        <f>D10*100/D11</f>
        <v>17.534246575342465</v>
      </c>
      <c r="F10" s="24">
        <v>96</v>
      </c>
      <c r="G10" s="25">
        <f>F10*100/F11</f>
        <v>26.301369863013697</v>
      </c>
      <c r="H10" s="26">
        <v>87</v>
      </c>
      <c r="I10" s="25">
        <f>H10*100/H11</f>
        <v>17.365269461077844</v>
      </c>
      <c r="J10" s="24">
        <v>26</v>
      </c>
      <c r="K10" s="25">
        <f>J10*100/J11</f>
        <v>14.3646408839779</v>
      </c>
      <c r="L10" s="26">
        <v>418</v>
      </c>
      <c r="M10" s="25">
        <f>L10*100/L11</f>
        <v>24.330616996507565</v>
      </c>
      <c r="N10" s="24">
        <v>135</v>
      </c>
      <c r="O10" s="25">
        <f>N10*100/N11</f>
        <v>21.774193548387096</v>
      </c>
      <c r="P10" s="26">
        <v>138</v>
      </c>
      <c r="Q10" s="25">
        <f>P10*100/P11</f>
        <v>18.278145695364238</v>
      </c>
      <c r="R10" s="26">
        <v>51</v>
      </c>
      <c r="S10" s="25">
        <f>R10*100/R11</f>
        <v>21.338912133891213</v>
      </c>
      <c r="T10" s="24">
        <v>93</v>
      </c>
      <c r="U10" s="25">
        <f>T10*100/T11</f>
        <v>13.757396449704142</v>
      </c>
      <c r="V10" s="26">
        <v>41</v>
      </c>
      <c r="W10" s="25">
        <f>V10*100/V11</f>
        <v>21.693121693121693</v>
      </c>
      <c r="X10" s="24">
        <v>74</v>
      </c>
      <c r="Y10" s="25">
        <f>X10*100/X11</f>
        <v>26.24113475177305</v>
      </c>
      <c r="Z10" s="26">
        <v>66</v>
      </c>
      <c r="AA10" s="25">
        <f>Z10*100/Z11</f>
        <v>13.2</v>
      </c>
      <c r="AB10" s="24">
        <v>123</v>
      </c>
      <c r="AC10" s="25">
        <f>AB10*100/AB11</f>
        <v>23.251417769376182</v>
      </c>
      <c r="AD10" s="26">
        <v>42</v>
      </c>
      <c r="AE10" s="25">
        <f>AD10*100/AD11</f>
        <v>19.718309859154928</v>
      </c>
      <c r="AF10" s="24">
        <v>94</v>
      </c>
      <c r="AG10" s="25">
        <f>AF10*100/AF11</f>
        <v>24.289405684754524</v>
      </c>
      <c r="AH10" s="26">
        <v>94</v>
      </c>
      <c r="AI10" s="25">
        <f>AH10*100/AH11</f>
        <v>15.798319327731093</v>
      </c>
      <c r="AJ10" s="24">
        <v>70</v>
      </c>
      <c r="AK10" s="25">
        <f>AJ10*100/AJ11</f>
        <v>23.178807947019866</v>
      </c>
      <c r="AL10" s="26">
        <v>51</v>
      </c>
      <c r="AM10" s="25">
        <f>AL10*100/AL11</f>
        <v>19.691119691119692</v>
      </c>
      <c r="AN10" s="24">
        <v>30</v>
      </c>
      <c r="AO10" s="25">
        <f>AN10*100/AN11</f>
        <v>11.764705882352942</v>
      </c>
      <c r="AP10" s="26">
        <v>286</v>
      </c>
      <c r="AQ10" s="25">
        <f>AP10*100/AP11</f>
        <v>21.343283582089551</v>
      </c>
      <c r="AR10" s="24">
        <v>44</v>
      </c>
      <c r="AS10" s="25">
        <f>AR10*100/AR11</f>
        <v>22.222222222222221</v>
      </c>
      <c r="AT10" s="24">
        <v>15</v>
      </c>
      <c r="AU10" s="25">
        <f>AT10*100/AT11</f>
        <v>19.736842105263158</v>
      </c>
      <c r="AV10" s="29">
        <v>91</v>
      </c>
      <c r="AW10" s="25">
        <f>AV10*100/AV11</f>
        <v>18.2</v>
      </c>
    </row>
    <row r="11" spans="1:50" x14ac:dyDescent="0.3">
      <c r="A11" s="30" t="s">
        <v>250</v>
      </c>
      <c r="B11" s="28">
        <f>SUM(B2:B10)</f>
        <v>3728</v>
      </c>
      <c r="C11" s="25">
        <f>B11*100/B11</f>
        <v>100</v>
      </c>
      <c r="D11" s="28">
        <f t="shared" ref="D11:AV11" si="0">SUM(D2:D10)</f>
        <v>365</v>
      </c>
      <c r="E11" s="25">
        <f>D11*100/D11</f>
        <v>100</v>
      </c>
      <c r="F11" s="28">
        <f t="shared" si="0"/>
        <v>365</v>
      </c>
      <c r="G11" s="25">
        <f>F11*100/F11</f>
        <v>100</v>
      </c>
      <c r="H11" s="28">
        <f t="shared" si="0"/>
        <v>501</v>
      </c>
      <c r="I11" s="25">
        <f>H11*100/H11</f>
        <v>100</v>
      </c>
      <c r="J11" s="28">
        <f t="shared" si="0"/>
        <v>181</v>
      </c>
      <c r="K11" s="25">
        <f>J11*100/J11</f>
        <v>100</v>
      </c>
      <c r="L11" s="28">
        <f t="shared" si="0"/>
        <v>1718</v>
      </c>
      <c r="M11" s="25">
        <f>L11*100/L11</f>
        <v>100</v>
      </c>
      <c r="N11" s="28">
        <f t="shared" si="0"/>
        <v>620</v>
      </c>
      <c r="O11" s="25">
        <f>N11*100/N11</f>
        <v>100</v>
      </c>
      <c r="P11" s="28">
        <f t="shared" si="0"/>
        <v>755</v>
      </c>
      <c r="Q11" s="25">
        <f>P11*100/P11</f>
        <v>100</v>
      </c>
      <c r="R11" s="28">
        <f t="shared" si="0"/>
        <v>239</v>
      </c>
      <c r="S11" s="25">
        <f>R11*100/R11</f>
        <v>100</v>
      </c>
      <c r="T11" s="28">
        <f t="shared" si="0"/>
        <v>676</v>
      </c>
      <c r="U11" s="25">
        <f>T11*100/T11</f>
        <v>100</v>
      </c>
      <c r="V11" s="28">
        <f t="shared" si="0"/>
        <v>189</v>
      </c>
      <c r="W11" s="25">
        <f>V11*100/V11</f>
        <v>100</v>
      </c>
      <c r="X11" s="28">
        <f t="shared" si="0"/>
        <v>282</v>
      </c>
      <c r="Y11" s="25">
        <f>X11*100/X11</f>
        <v>100</v>
      </c>
      <c r="Z11" s="28">
        <f t="shared" si="0"/>
        <v>500</v>
      </c>
      <c r="AA11" s="25">
        <f>Z11*100/Z11</f>
        <v>100</v>
      </c>
      <c r="AB11" s="28">
        <f t="shared" si="0"/>
        <v>529</v>
      </c>
      <c r="AC11" s="25">
        <f>AB11*100/AB11</f>
        <v>100</v>
      </c>
      <c r="AD11" s="28">
        <f t="shared" si="0"/>
        <v>213</v>
      </c>
      <c r="AE11" s="25">
        <f>AD11*100/AD11</f>
        <v>100</v>
      </c>
      <c r="AF11" s="28">
        <f t="shared" si="0"/>
        <v>387</v>
      </c>
      <c r="AG11" s="25">
        <f>AF11*100/AF11</f>
        <v>100</v>
      </c>
      <c r="AH11" s="28">
        <f t="shared" si="0"/>
        <v>595</v>
      </c>
      <c r="AI11" s="25">
        <f>AH11*100/AH11</f>
        <v>100</v>
      </c>
      <c r="AJ11" s="28">
        <f t="shared" si="0"/>
        <v>302</v>
      </c>
      <c r="AK11" s="25">
        <f>AJ11*100/AJ11</f>
        <v>100</v>
      </c>
      <c r="AL11" s="28">
        <f t="shared" si="0"/>
        <v>259</v>
      </c>
      <c r="AM11" s="25">
        <f>AL11*100/AL11</f>
        <v>100</v>
      </c>
      <c r="AN11" s="28">
        <f t="shared" si="0"/>
        <v>255</v>
      </c>
      <c r="AO11" s="25">
        <f>AN11*100/AN11</f>
        <v>100</v>
      </c>
      <c r="AP11" s="28">
        <f t="shared" si="0"/>
        <v>1340</v>
      </c>
      <c r="AQ11" s="25">
        <f>AP11*100/AP11</f>
        <v>100</v>
      </c>
      <c r="AR11" s="28">
        <f t="shared" si="0"/>
        <v>198</v>
      </c>
      <c r="AS11" s="25">
        <f>AR11*100/AR11</f>
        <v>100</v>
      </c>
      <c r="AT11" s="28">
        <f t="shared" si="0"/>
        <v>76</v>
      </c>
      <c r="AU11" s="25">
        <f>AT11*100/AT11</f>
        <v>100</v>
      </c>
      <c r="AV11" s="28">
        <f t="shared" si="0"/>
        <v>500</v>
      </c>
      <c r="AW11" s="25">
        <f>AV11*100/AV11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5D8B-6C67-4644-A816-055D9BED2897}">
  <dimension ref="A3:G14"/>
  <sheetViews>
    <sheetView workbookViewId="0">
      <selection activeCell="D3" sqref="D3"/>
    </sheetView>
  </sheetViews>
  <sheetFormatPr baseColWidth="10" defaultRowHeight="14.4" x14ac:dyDescent="0.3"/>
  <cols>
    <col min="1" max="1" width="21.33203125" bestFit="1" customWidth="1"/>
    <col min="2" max="2" width="21.21875" bestFit="1" customWidth="1"/>
    <col min="3" max="3" width="5.109375" bestFit="1" customWidth="1"/>
    <col min="4" max="4" width="8.44140625" bestFit="1" customWidth="1"/>
    <col min="5" max="5" width="8.5546875" bestFit="1" customWidth="1"/>
    <col min="6" max="6" width="10.33203125" bestFit="1" customWidth="1"/>
    <col min="7" max="7" width="11.5546875" bestFit="1" customWidth="1"/>
    <col min="8" max="13" width="22.33203125" bestFit="1" customWidth="1"/>
    <col min="14" max="14" width="9.5546875" bestFit="1" customWidth="1"/>
    <col min="15" max="22" width="22.33203125" bestFit="1" customWidth="1"/>
    <col min="23" max="23" width="12.88671875" bestFit="1" customWidth="1"/>
    <col min="24" max="30" width="22.33203125" bestFit="1" customWidth="1"/>
    <col min="31" max="31" width="13" bestFit="1" customWidth="1"/>
  </cols>
  <sheetData>
    <row r="3" spans="1:7" x14ac:dyDescent="0.3">
      <c r="A3" s="8" t="s">
        <v>97</v>
      </c>
      <c r="B3" s="8" t="s">
        <v>94</v>
      </c>
    </row>
    <row r="4" spans="1:7" x14ac:dyDescent="0.3">
      <c r="A4" s="8" t="s">
        <v>96</v>
      </c>
      <c r="B4" t="s">
        <v>26</v>
      </c>
      <c r="C4" t="s">
        <v>52</v>
      </c>
      <c r="D4" t="s">
        <v>42</v>
      </c>
      <c r="E4" t="s">
        <v>50</v>
      </c>
      <c r="F4" t="s">
        <v>109</v>
      </c>
      <c r="G4" t="s">
        <v>95</v>
      </c>
    </row>
    <row r="5" spans="1:7" x14ac:dyDescent="0.3">
      <c r="A5" s="9" t="s">
        <v>33</v>
      </c>
      <c r="B5" s="10">
        <v>13</v>
      </c>
      <c r="C5" s="10"/>
      <c r="D5" s="10">
        <v>3</v>
      </c>
      <c r="E5" s="10"/>
      <c r="F5" s="10"/>
      <c r="G5" s="10">
        <v>16</v>
      </c>
    </row>
    <row r="6" spans="1:7" x14ac:dyDescent="0.3">
      <c r="A6" s="9" t="s">
        <v>25</v>
      </c>
      <c r="B6" s="10">
        <v>4</v>
      </c>
      <c r="C6" s="10">
        <v>4</v>
      </c>
      <c r="D6" s="10">
        <v>2</v>
      </c>
      <c r="E6" s="10">
        <v>2</v>
      </c>
      <c r="F6" s="10"/>
      <c r="G6" s="10">
        <v>12</v>
      </c>
    </row>
    <row r="7" spans="1:7" x14ac:dyDescent="0.3">
      <c r="A7" s="9" t="s">
        <v>35</v>
      </c>
      <c r="B7" s="10">
        <v>10</v>
      </c>
      <c r="C7" s="10"/>
      <c r="D7" s="10">
        <v>2</v>
      </c>
      <c r="E7" s="10">
        <v>4</v>
      </c>
      <c r="F7" s="10"/>
      <c r="G7" s="10">
        <v>16</v>
      </c>
    </row>
    <row r="8" spans="1:7" x14ac:dyDescent="0.3">
      <c r="A8" s="9" t="s">
        <v>29</v>
      </c>
      <c r="B8" s="10">
        <v>12</v>
      </c>
      <c r="C8" s="10">
        <v>2</v>
      </c>
      <c r="D8" s="10">
        <v>7</v>
      </c>
      <c r="E8" s="10">
        <v>1</v>
      </c>
      <c r="F8" s="10"/>
      <c r="G8" s="10">
        <v>22</v>
      </c>
    </row>
    <row r="9" spans="1:7" x14ac:dyDescent="0.3">
      <c r="A9" s="9" t="s">
        <v>44</v>
      </c>
      <c r="B9" s="10">
        <v>9</v>
      </c>
      <c r="C9" s="10">
        <v>6</v>
      </c>
      <c r="D9" s="10">
        <v>4</v>
      </c>
      <c r="E9" s="10">
        <v>8</v>
      </c>
      <c r="F9" s="10"/>
      <c r="G9" s="10">
        <v>27</v>
      </c>
    </row>
    <row r="10" spans="1:7" x14ac:dyDescent="0.3">
      <c r="A10" s="9" t="s">
        <v>46</v>
      </c>
      <c r="B10" s="10"/>
      <c r="C10" s="10">
        <v>1</v>
      </c>
      <c r="D10" s="10">
        <v>5</v>
      </c>
      <c r="E10" s="10">
        <v>1</v>
      </c>
      <c r="F10" s="10"/>
      <c r="G10" s="10">
        <v>7</v>
      </c>
    </row>
    <row r="11" spans="1:7" x14ac:dyDescent="0.3">
      <c r="A11" s="9" t="s">
        <v>74</v>
      </c>
      <c r="B11" s="10"/>
      <c r="C11" s="10">
        <v>1</v>
      </c>
      <c r="D11" s="10">
        <v>2</v>
      </c>
      <c r="E11" s="10">
        <v>1</v>
      </c>
      <c r="F11" s="10"/>
      <c r="G11" s="10">
        <v>4</v>
      </c>
    </row>
    <row r="12" spans="1:7" x14ac:dyDescent="0.3">
      <c r="A12" s="9" t="s">
        <v>38</v>
      </c>
      <c r="B12" s="10">
        <v>15</v>
      </c>
      <c r="C12" s="10">
        <v>1</v>
      </c>
      <c r="D12" s="10">
        <v>6</v>
      </c>
      <c r="E12" s="10">
        <v>8</v>
      </c>
      <c r="F12" s="10"/>
      <c r="G12" s="10">
        <v>30</v>
      </c>
    </row>
    <row r="13" spans="1:7" x14ac:dyDescent="0.3">
      <c r="A13" s="9" t="s">
        <v>109</v>
      </c>
      <c r="B13" s="10"/>
      <c r="C13" s="10"/>
      <c r="D13" s="10"/>
      <c r="E13" s="10"/>
      <c r="F13" s="10"/>
      <c r="G13" s="10"/>
    </row>
    <row r="14" spans="1:7" x14ac:dyDescent="0.3">
      <c r="A14" s="9" t="s">
        <v>95</v>
      </c>
      <c r="B14">
        <v>63</v>
      </c>
      <c r="C14">
        <v>15</v>
      </c>
      <c r="D14">
        <v>31</v>
      </c>
      <c r="E14">
        <v>25</v>
      </c>
      <c r="G14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61A0-D4EF-4E08-8121-3D332752E652}">
  <dimension ref="A1:Y264"/>
  <sheetViews>
    <sheetView topLeftCell="A240" zoomScaleNormal="100" workbookViewId="0">
      <selection activeCell="A3" sqref="A3:XFD264"/>
    </sheetView>
  </sheetViews>
  <sheetFormatPr baseColWidth="10" defaultRowHeight="14.4" x14ac:dyDescent="0.3"/>
  <cols>
    <col min="2" max="3" width="11.5546875" customWidth="1"/>
  </cols>
  <sheetData>
    <row r="1" spans="1:25" ht="19.8" thickBot="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" thickBot="1" x14ac:dyDescent="0.35">
      <c r="A3" s="3">
        <v>912</v>
      </c>
      <c r="B3" s="4" t="s">
        <v>24</v>
      </c>
      <c r="C3" s="4" t="s">
        <v>25</v>
      </c>
      <c r="D3" s="5">
        <v>34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4" t="s">
        <v>26</v>
      </c>
      <c r="W3" s="4" t="s">
        <v>27</v>
      </c>
      <c r="X3" s="6" t="s">
        <v>28</v>
      </c>
      <c r="Y3" s="5">
        <v>1</v>
      </c>
    </row>
    <row r="4" spans="1:25" ht="15" thickBot="1" x14ac:dyDescent="0.35">
      <c r="A4" s="3">
        <v>913</v>
      </c>
      <c r="B4" s="4" t="s">
        <v>24</v>
      </c>
      <c r="C4" s="4" t="s">
        <v>29</v>
      </c>
      <c r="D4" s="5">
        <v>31</v>
      </c>
      <c r="E4" s="5">
        <v>8</v>
      </c>
      <c r="F4" s="5">
        <v>6</v>
      </c>
      <c r="G4" s="5">
        <v>2</v>
      </c>
      <c r="H4" s="5">
        <v>0</v>
      </c>
      <c r="I4" s="5">
        <v>36</v>
      </c>
      <c r="J4" s="5">
        <v>20</v>
      </c>
      <c r="K4" s="5">
        <v>16</v>
      </c>
      <c r="L4" s="5">
        <v>0</v>
      </c>
      <c r="M4" s="5">
        <v>28</v>
      </c>
      <c r="N4" s="5">
        <v>24</v>
      </c>
      <c r="O4" s="5">
        <v>1</v>
      </c>
      <c r="P4" s="5">
        <v>3</v>
      </c>
      <c r="Q4" s="5">
        <v>2</v>
      </c>
      <c r="R4" s="5">
        <v>2</v>
      </c>
      <c r="S4" s="5">
        <v>0</v>
      </c>
      <c r="T4" s="5">
        <v>0</v>
      </c>
      <c r="U4" s="5">
        <v>74</v>
      </c>
      <c r="V4" s="4" t="s">
        <v>26</v>
      </c>
      <c r="W4" s="4" t="s">
        <v>30</v>
      </c>
      <c r="X4" s="4" t="s">
        <v>31</v>
      </c>
      <c r="Y4" s="5">
        <v>1</v>
      </c>
    </row>
    <row r="5" spans="1:25" ht="15" thickBot="1" x14ac:dyDescent="0.35">
      <c r="A5" s="3">
        <v>2525</v>
      </c>
      <c r="B5" s="4" t="s">
        <v>24</v>
      </c>
      <c r="C5" s="4" t="s">
        <v>25</v>
      </c>
      <c r="D5" s="5">
        <v>34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3</v>
      </c>
      <c r="N5" s="5">
        <v>3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3</v>
      </c>
      <c r="V5" s="4" t="s">
        <v>26</v>
      </c>
      <c r="W5" s="4" t="s">
        <v>64</v>
      </c>
      <c r="X5" s="6" t="s">
        <v>28</v>
      </c>
      <c r="Y5" s="5">
        <v>4</v>
      </c>
    </row>
    <row r="6" spans="1:25" ht="15" thickBot="1" x14ac:dyDescent="0.35">
      <c r="A6" s="3">
        <v>2526</v>
      </c>
      <c r="B6" s="4" t="s">
        <v>24</v>
      </c>
      <c r="C6" s="4" t="s">
        <v>44</v>
      </c>
      <c r="D6" s="5">
        <v>16</v>
      </c>
      <c r="E6" s="5">
        <v>13</v>
      </c>
      <c r="F6" s="5">
        <v>5</v>
      </c>
      <c r="G6" s="5">
        <v>8</v>
      </c>
      <c r="H6" s="5">
        <v>0</v>
      </c>
      <c r="I6" s="5">
        <v>5</v>
      </c>
      <c r="J6" s="5">
        <v>1</v>
      </c>
      <c r="K6" s="5">
        <v>3</v>
      </c>
      <c r="L6" s="5">
        <v>1</v>
      </c>
      <c r="M6" s="5">
        <v>13</v>
      </c>
      <c r="N6" s="5">
        <v>8</v>
      </c>
      <c r="O6" s="5">
        <v>5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31</v>
      </c>
      <c r="V6" s="4" t="s">
        <v>26</v>
      </c>
      <c r="W6" s="4" t="s">
        <v>45</v>
      </c>
      <c r="X6" s="4" t="s">
        <v>76</v>
      </c>
      <c r="Y6" s="5">
        <v>1</v>
      </c>
    </row>
    <row r="7" spans="1:25" ht="15" thickBot="1" x14ac:dyDescent="0.35">
      <c r="A7" s="3">
        <v>2527</v>
      </c>
      <c r="B7" s="4" t="s">
        <v>24</v>
      </c>
      <c r="C7" s="4" t="s">
        <v>38</v>
      </c>
      <c r="D7" s="5">
        <v>22</v>
      </c>
      <c r="E7" s="5">
        <v>0</v>
      </c>
      <c r="F7" s="5">
        <v>0</v>
      </c>
      <c r="G7" s="5">
        <v>0</v>
      </c>
      <c r="H7" s="5">
        <v>0</v>
      </c>
      <c r="I7" s="5">
        <v>8</v>
      </c>
      <c r="J7" s="5">
        <v>1</v>
      </c>
      <c r="K7" s="5">
        <v>7</v>
      </c>
      <c r="L7" s="5">
        <v>0</v>
      </c>
      <c r="M7" s="5">
        <v>132</v>
      </c>
      <c r="N7" s="5">
        <v>70</v>
      </c>
      <c r="O7" s="5">
        <v>62</v>
      </c>
      <c r="P7" s="5">
        <v>0</v>
      </c>
      <c r="Q7" s="5">
        <v>2</v>
      </c>
      <c r="R7" s="5">
        <v>2</v>
      </c>
      <c r="S7" s="5">
        <v>0</v>
      </c>
      <c r="T7" s="5">
        <v>0</v>
      </c>
      <c r="U7" s="5">
        <v>142</v>
      </c>
      <c r="V7" s="4" t="s">
        <v>26</v>
      </c>
      <c r="W7" s="4" t="s">
        <v>39</v>
      </c>
      <c r="X7" s="4" t="s">
        <v>80</v>
      </c>
      <c r="Y7" s="5">
        <v>2</v>
      </c>
    </row>
    <row r="8" spans="1:25" ht="15" thickBot="1" x14ac:dyDescent="0.35">
      <c r="A8" s="3">
        <v>2528</v>
      </c>
      <c r="B8" s="4" t="s">
        <v>24</v>
      </c>
      <c r="C8" s="4" t="s">
        <v>29</v>
      </c>
      <c r="D8" s="5">
        <v>31</v>
      </c>
      <c r="E8" s="5">
        <v>4</v>
      </c>
      <c r="F8" s="5">
        <v>3</v>
      </c>
      <c r="G8" s="5">
        <v>1</v>
      </c>
      <c r="H8" s="5">
        <v>0</v>
      </c>
      <c r="I8" s="5">
        <v>21</v>
      </c>
      <c r="J8" s="5">
        <v>16</v>
      </c>
      <c r="K8" s="5">
        <v>5</v>
      </c>
      <c r="L8" s="5">
        <v>0</v>
      </c>
      <c r="M8" s="5">
        <v>18</v>
      </c>
      <c r="N8" s="5">
        <v>8</v>
      </c>
      <c r="O8" s="5">
        <v>10</v>
      </c>
      <c r="P8" s="5">
        <v>0</v>
      </c>
      <c r="Q8" s="5">
        <v>2</v>
      </c>
      <c r="R8" s="5">
        <v>0</v>
      </c>
      <c r="S8" s="5">
        <v>2</v>
      </c>
      <c r="T8" s="5">
        <v>0</v>
      </c>
      <c r="U8" s="5">
        <v>45</v>
      </c>
      <c r="V8" s="4" t="s">
        <v>26</v>
      </c>
      <c r="W8" s="4" t="s">
        <v>30</v>
      </c>
      <c r="X8" s="4" t="s">
        <v>31</v>
      </c>
      <c r="Y8" s="5">
        <v>1</v>
      </c>
    </row>
    <row r="9" spans="1:25" ht="15" thickBot="1" x14ac:dyDescent="0.35">
      <c r="A9" s="3">
        <v>4252</v>
      </c>
      <c r="B9" s="4" t="s">
        <v>24</v>
      </c>
      <c r="C9" s="4" t="s">
        <v>38</v>
      </c>
      <c r="D9" s="5">
        <v>22</v>
      </c>
      <c r="E9" s="5">
        <v>0</v>
      </c>
      <c r="F9" s="5">
        <v>0</v>
      </c>
      <c r="G9" s="5">
        <v>0</v>
      </c>
      <c r="H9" s="5">
        <v>0</v>
      </c>
      <c r="I9" s="5">
        <v>38</v>
      </c>
      <c r="J9" s="5">
        <v>22</v>
      </c>
      <c r="K9" s="5">
        <v>16</v>
      </c>
      <c r="L9" s="5">
        <v>0</v>
      </c>
      <c r="M9" s="5">
        <v>93</v>
      </c>
      <c r="N9" s="5">
        <v>46</v>
      </c>
      <c r="O9" s="5">
        <v>47</v>
      </c>
      <c r="P9" s="5">
        <v>0</v>
      </c>
      <c r="Q9" s="5">
        <v>13</v>
      </c>
      <c r="R9" s="5">
        <v>8</v>
      </c>
      <c r="S9" s="5">
        <v>5</v>
      </c>
      <c r="T9" s="5">
        <v>0</v>
      </c>
      <c r="U9" s="5">
        <v>144</v>
      </c>
      <c r="V9" s="4" t="s">
        <v>26</v>
      </c>
      <c r="W9" s="4" t="s">
        <v>39</v>
      </c>
      <c r="X9" s="4" t="s">
        <v>80</v>
      </c>
      <c r="Y9" s="5">
        <v>3</v>
      </c>
    </row>
    <row r="10" spans="1:25" ht="15" thickBot="1" x14ac:dyDescent="0.35">
      <c r="A10" s="3">
        <v>4253</v>
      </c>
      <c r="B10" s="4" t="s">
        <v>24</v>
      </c>
      <c r="C10" s="4" t="s">
        <v>29</v>
      </c>
      <c r="D10" s="5">
        <v>31</v>
      </c>
      <c r="E10" s="5">
        <v>26</v>
      </c>
      <c r="F10" s="5">
        <v>10</v>
      </c>
      <c r="G10" s="5">
        <v>16</v>
      </c>
      <c r="H10" s="5">
        <v>0</v>
      </c>
      <c r="I10" s="5">
        <v>17</v>
      </c>
      <c r="J10" s="5">
        <v>12</v>
      </c>
      <c r="K10" s="5">
        <v>5</v>
      </c>
      <c r="L10" s="5">
        <v>0</v>
      </c>
      <c r="M10" s="5">
        <v>43</v>
      </c>
      <c r="N10" s="5">
        <v>19</v>
      </c>
      <c r="O10" s="5">
        <v>24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86</v>
      </c>
      <c r="V10" s="4" t="s">
        <v>26</v>
      </c>
      <c r="W10" s="4" t="s">
        <v>30</v>
      </c>
      <c r="X10" s="4" t="s">
        <v>31</v>
      </c>
      <c r="Y10" s="5">
        <v>1</v>
      </c>
    </row>
    <row r="11" spans="1:25" ht="15" thickBot="1" x14ac:dyDescent="0.35">
      <c r="A11" s="3">
        <v>6178</v>
      </c>
      <c r="B11" s="4" t="s">
        <v>24</v>
      </c>
      <c r="C11" s="4" t="s">
        <v>25</v>
      </c>
      <c r="D11" s="5">
        <v>34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1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4" t="s">
        <v>26</v>
      </c>
      <c r="W11" s="4" t="s">
        <v>27</v>
      </c>
      <c r="X11" s="6" t="s">
        <v>28</v>
      </c>
      <c r="Y11" s="5">
        <v>1</v>
      </c>
    </row>
    <row r="12" spans="1:25" ht="15" thickBot="1" x14ac:dyDescent="0.35">
      <c r="A12" s="3">
        <v>6179</v>
      </c>
      <c r="B12" s="4" t="s">
        <v>24</v>
      </c>
      <c r="C12" s="4" t="s">
        <v>33</v>
      </c>
      <c r="D12" s="5">
        <v>10</v>
      </c>
      <c r="E12" s="5">
        <v>58</v>
      </c>
      <c r="F12" s="5">
        <v>33</v>
      </c>
      <c r="G12" s="5">
        <v>25</v>
      </c>
      <c r="H12" s="5">
        <v>0</v>
      </c>
      <c r="I12" s="5">
        <v>54</v>
      </c>
      <c r="J12" s="5">
        <v>32</v>
      </c>
      <c r="K12" s="5">
        <v>22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112</v>
      </c>
      <c r="V12" s="4" t="s">
        <v>26</v>
      </c>
      <c r="W12" s="4" t="s">
        <v>33</v>
      </c>
      <c r="X12" s="4" t="s">
        <v>67</v>
      </c>
      <c r="Y12" s="5">
        <v>2</v>
      </c>
    </row>
    <row r="13" spans="1:25" ht="15" thickBot="1" x14ac:dyDescent="0.35">
      <c r="A13" s="3">
        <v>6180</v>
      </c>
      <c r="B13" s="4" t="s">
        <v>24</v>
      </c>
      <c r="C13" s="4" t="s">
        <v>38</v>
      </c>
      <c r="D13" s="5">
        <v>22</v>
      </c>
      <c r="E13" s="5">
        <v>0</v>
      </c>
      <c r="F13" s="5">
        <v>0</v>
      </c>
      <c r="G13" s="5">
        <v>0</v>
      </c>
      <c r="H13" s="5">
        <v>0</v>
      </c>
      <c r="I13" s="5">
        <v>67</v>
      </c>
      <c r="J13" s="5">
        <v>34</v>
      </c>
      <c r="K13" s="5">
        <v>33</v>
      </c>
      <c r="L13" s="5">
        <v>0</v>
      </c>
      <c r="M13" s="5">
        <v>87</v>
      </c>
      <c r="N13" s="5">
        <v>43</v>
      </c>
      <c r="O13" s="5">
        <v>44</v>
      </c>
      <c r="P13" s="5">
        <v>0</v>
      </c>
      <c r="Q13" s="5">
        <v>39</v>
      </c>
      <c r="R13" s="5">
        <v>18</v>
      </c>
      <c r="S13" s="5">
        <v>21</v>
      </c>
      <c r="T13" s="5">
        <v>0</v>
      </c>
      <c r="U13" s="5">
        <v>193</v>
      </c>
      <c r="V13" s="4" t="s">
        <v>26</v>
      </c>
      <c r="W13" s="4" t="s">
        <v>39</v>
      </c>
      <c r="X13" s="4" t="s">
        <v>80</v>
      </c>
      <c r="Y13" s="5">
        <v>3</v>
      </c>
    </row>
    <row r="14" spans="1:25" ht="15" thickBot="1" x14ac:dyDescent="0.35">
      <c r="A14" s="3">
        <v>6181</v>
      </c>
      <c r="B14" s="4" t="s">
        <v>24</v>
      </c>
      <c r="C14" s="4" t="s">
        <v>29</v>
      </c>
      <c r="D14" s="5">
        <v>31</v>
      </c>
      <c r="E14" s="5">
        <v>7</v>
      </c>
      <c r="F14" s="5">
        <v>5</v>
      </c>
      <c r="G14" s="5">
        <v>2</v>
      </c>
      <c r="H14" s="5">
        <v>0</v>
      </c>
      <c r="I14" s="5">
        <v>26</v>
      </c>
      <c r="J14" s="5">
        <v>10</v>
      </c>
      <c r="K14" s="5">
        <v>16</v>
      </c>
      <c r="L14" s="5">
        <v>0</v>
      </c>
      <c r="M14" s="5">
        <v>36</v>
      </c>
      <c r="N14" s="5">
        <v>14</v>
      </c>
      <c r="O14" s="5">
        <v>22</v>
      </c>
      <c r="P14" s="5">
        <v>0</v>
      </c>
      <c r="Q14" s="5">
        <v>4</v>
      </c>
      <c r="R14" s="5">
        <v>1</v>
      </c>
      <c r="S14" s="5">
        <v>3</v>
      </c>
      <c r="T14" s="5">
        <v>0</v>
      </c>
      <c r="U14" s="5">
        <v>73</v>
      </c>
      <c r="V14" s="4" t="s">
        <v>26</v>
      </c>
      <c r="W14" s="4" t="s">
        <v>30</v>
      </c>
      <c r="X14" s="4" t="s">
        <v>31</v>
      </c>
      <c r="Y14" s="5">
        <v>1</v>
      </c>
    </row>
    <row r="15" spans="1:25" ht="15" thickBot="1" x14ac:dyDescent="0.35">
      <c r="A15" s="3">
        <v>8239</v>
      </c>
      <c r="B15" s="4" t="s">
        <v>24</v>
      </c>
      <c r="C15" s="4" t="s">
        <v>35</v>
      </c>
      <c r="D15" s="5">
        <v>25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4" t="s">
        <v>26</v>
      </c>
      <c r="W15" s="4" t="s">
        <v>36</v>
      </c>
      <c r="X15" s="4" t="s">
        <v>37</v>
      </c>
      <c r="Y15" s="5">
        <v>2</v>
      </c>
    </row>
    <row r="16" spans="1:25" ht="15" thickBot="1" x14ac:dyDescent="0.35">
      <c r="A16" s="3">
        <v>8240</v>
      </c>
      <c r="B16" s="4" t="s">
        <v>24</v>
      </c>
      <c r="C16" s="4" t="s">
        <v>33</v>
      </c>
      <c r="D16" s="5">
        <v>10</v>
      </c>
      <c r="E16" s="5">
        <v>141</v>
      </c>
      <c r="F16" s="5">
        <v>77</v>
      </c>
      <c r="G16" s="5">
        <v>64</v>
      </c>
      <c r="H16" s="5">
        <v>0</v>
      </c>
      <c r="I16" s="5">
        <v>113</v>
      </c>
      <c r="J16" s="5">
        <v>49</v>
      </c>
      <c r="K16" s="5">
        <v>64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254</v>
      </c>
      <c r="V16" s="4" t="s">
        <v>26</v>
      </c>
      <c r="W16" s="4" t="s">
        <v>33</v>
      </c>
      <c r="X16" s="4" t="s">
        <v>67</v>
      </c>
      <c r="Y16" s="5">
        <v>2</v>
      </c>
    </row>
    <row r="17" spans="1:25" ht="15" thickBot="1" x14ac:dyDescent="0.35">
      <c r="A17" s="3">
        <v>8241</v>
      </c>
      <c r="B17" s="4" t="s">
        <v>24</v>
      </c>
      <c r="C17" s="4" t="s">
        <v>44</v>
      </c>
      <c r="D17" s="5">
        <v>16</v>
      </c>
      <c r="E17" s="5">
        <v>0</v>
      </c>
      <c r="F17" s="5">
        <v>0</v>
      </c>
      <c r="G17" s="5">
        <v>0</v>
      </c>
      <c r="H17" s="5">
        <v>0</v>
      </c>
      <c r="I17" s="5">
        <v>103</v>
      </c>
      <c r="J17" s="5">
        <v>59</v>
      </c>
      <c r="K17" s="5">
        <v>40</v>
      </c>
      <c r="L17" s="5">
        <v>4</v>
      </c>
      <c r="M17" s="5">
        <v>450</v>
      </c>
      <c r="N17" s="5">
        <v>236</v>
      </c>
      <c r="O17" s="5">
        <v>206</v>
      </c>
      <c r="P17" s="5">
        <v>8</v>
      </c>
      <c r="Q17" s="5">
        <v>47</v>
      </c>
      <c r="R17" s="5">
        <v>29</v>
      </c>
      <c r="S17" s="5">
        <v>18</v>
      </c>
      <c r="T17" s="5">
        <v>0</v>
      </c>
      <c r="U17" s="5">
        <v>600</v>
      </c>
      <c r="V17" s="4" t="s">
        <v>26</v>
      </c>
      <c r="W17" s="4" t="s">
        <v>45</v>
      </c>
      <c r="X17" s="4" t="s">
        <v>76</v>
      </c>
      <c r="Y17" s="5">
        <v>8</v>
      </c>
    </row>
    <row r="18" spans="1:25" ht="15" thickBot="1" x14ac:dyDescent="0.35">
      <c r="A18" s="3">
        <v>8242</v>
      </c>
      <c r="B18" s="4" t="s">
        <v>24</v>
      </c>
      <c r="C18" s="4" t="s">
        <v>38</v>
      </c>
      <c r="D18" s="5">
        <v>22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118</v>
      </c>
      <c r="N18" s="5">
        <v>51</v>
      </c>
      <c r="O18" s="5">
        <v>67</v>
      </c>
      <c r="P18" s="5">
        <v>0</v>
      </c>
      <c r="Q18" s="5">
        <v>110</v>
      </c>
      <c r="R18" s="5">
        <v>58</v>
      </c>
      <c r="S18" s="5">
        <v>52</v>
      </c>
      <c r="T18" s="5">
        <v>0</v>
      </c>
      <c r="U18" s="5">
        <v>228</v>
      </c>
      <c r="V18" s="4" t="s">
        <v>26</v>
      </c>
      <c r="W18" s="4" t="s">
        <v>39</v>
      </c>
      <c r="X18" s="4" t="s">
        <v>80</v>
      </c>
      <c r="Y18" s="5">
        <v>3</v>
      </c>
    </row>
    <row r="19" spans="1:25" ht="15" thickBot="1" x14ac:dyDescent="0.35">
      <c r="A19" s="3">
        <v>8243</v>
      </c>
      <c r="B19" s="4" t="s">
        <v>24</v>
      </c>
      <c r="C19" s="4" t="s">
        <v>29</v>
      </c>
      <c r="D19" s="5">
        <v>31</v>
      </c>
      <c r="E19" s="5">
        <v>120</v>
      </c>
      <c r="F19" s="5">
        <v>61</v>
      </c>
      <c r="G19" s="5">
        <v>59</v>
      </c>
      <c r="H19" s="5">
        <v>0</v>
      </c>
      <c r="I19" s="5">
        <v>239</v>
      </c>
      <c r="J19" s="5">
        <v>117</v>
      </c>
      <c r="K19" s="5">
        <v>121</v>
      </c>
      <c r="L19" s="5">
        <v>1</v>
      </c>
      <c r="M19" s="5">
        <v>468</v>
      </c>
      <c r="N19" s="5">
        <v>221</v>
      </c>
      <c r="O19" s="5">
        <v>242</v>
      </c>
      <c r="P19" s="5">
        <v>5</v>
      </c>
      <c r="Q19" s="5">
        <v>8</v>
      </c>
      <c r="R19" s="5">
        <v>2</v>
      </c>
      <c r="S19" s="5">
        <v>6</v>
      </c>
      <c r="T19" s="5">
        <v>0</v>
      </c>
      <c r="U19" s="5">
        <v>835</v>
      </c>
      <c r="V19" s="4" t="s">
        <v>26</v>
      </c>
      <c r="W19" s="4" t="s">
        <v>30</v>
      </c>
      <c r="X19" s="4" t="s">
        <v>31</v>
      </c>
      <c r="Y19" s="5">
        <v>6</v>
      </c>
    </row>
    <row r="20" spans="1:25" ht="15" thickBot="1" x14ac:dyDescent="0.35">
      <c r="A20" s="3">
        <v>10337</v>
      </c>
      <c r="B20" s="4" t="s">
        <v>24</v>
      </c>
      <c r="C20" s="4" t="s">
        <v>35</v>
      </c>
      <c r="D20" s="5">
        <v>25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4" t="s">
        <v>26</v>
      </c>
      <c r="W20" s="4" t="s">
        <v>36</v>
      </c>
      <c r="X20" s="4" t="s">
        <v>75</v>
      </c>
      <c r="Y20" s="5">
        <v>1</v>
      </c>
    </row>
    <row r="21" spans="1:25" ht="15" thickBot="1" x14ac:dyDescent="0.35">
      <c r="A21" s="3">
        <v>10338</v>
      </c>
      <c r="B21" s="4" t="s">
        <v>24</v>
      </c>
      <c r="C21" s="4" t="s">
        <v>25</v>
      </c>
      <c r="D21" s="5">
        <v>34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1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4" t="s">
        <v>26</v>
      </c>
      <c r="W21" s="4" t="s">
        <v>64</v>
      </c>
      <c r="X21" s="6" t="s">
        <v>28</v>
      </c>
      <c r="Y21" s="5">
        <v>1</v>
      </c>
    </row>
    <row r="22" spans="1:25" ht="15" thickBot="1" x14ac:dyDescent="0.35">
      <c r="A22" s="3">
        <v>10339</v>
      </c>
      <c r="B22" s="4" t="s">
        <v>24</v>
      </c>
      <c r="C22" s="4" t="s">
        <v>33</v>
      </c>
      <c r="D22" s="5">
        <v>10</v>
      </c>
      <c r="E22" s="5">
        <v>119</v>
      </c>
      <c r="F22" s="5">
        <v>57</v>
      </c>
      <c r="G22" s="5">
        <v>62</v>
      </c>
      <c r="H22" s="5">
        <v>0</v>
      </c>
      <c r="I22" s="5">
        <v>114</v>
      </c>
      <c r="J22" s="5">
        <v>63</v>
      </c>
      <c r="K22" s="5">
        <v>51</v>
      </c>
      <c r="L22" s="5">
        <v>0</v>
      </c>
      <c r="M22" s="5">
        <v>35</v>
      </c>
      <c r="N22" s="5">
        <v>30</v>
      </c>
      <c r="O22" s="5">
        <v>5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268</v>
      </c>
      <c r="V22" s="4" t="s">
        <v>26</v>
      </c>
      <c r="W22" s="4" t="s">
        <v>33</v>
      </c>
      <c r="X22" s="4" t="s">
        <v>67</v>
      </c>
      <c r="Y22" s="5">
        <v>2</v>
      </c>
    </row>
    <row r="23" spans="1:25" ht="15" thickBot="1" x14ac:dyDescent="0.35">
      <c r="A23" s="3">
        <v>10340</v>
      </c>
      <c r="B23" s="4" t="s">
        <v>24</v>
      </c>
      <c r="C23" s="4" t="s">
        <v>44</v>
      </c>
      <c r="D23" s="5">
        <v>16</v>
      </c>
      <c r="E23" s="5">
        <v>147</v>
      </c>
      <c r="F23" s="5">
        <v>76</v>
      </c>
      <c r="G23" s="5">
        <v>71</v>
      </c>
      <c r="H23" s="5">
        <v>0</v>
      </c>
      <c r="I23" s="5">
        <v>253</v>
      </c>
      <c r="J23" s="5">
        <v>125</v>
      </c>
      <c r="K23" s="5">
        <v>128</v>
      </c>
      <c r="L23" s="5">
        <v>0</v>
      </c>
      <c r="M23" s="5">
        <v>575</v>
      </c>
      <c r="N23" s="5">
        <v>302</v>
      </c>
      <c r="O23" s="5">
        <v>268</v>
      </c>
      <c r="P23" s="5">
        <v>5</v>
      </c>
      <c r="Q23" s="5">
        <v>0</v>
      </c>
      <c r="R23" s="5">
        <v>0</v>
      </c>
      <c r="S23" s="5">
        <v>0</v>
      </c>
      <c r="T23" s="5">
        <v>0</v>
      </c>
      <c r="U23" s="5">
        <v>975</v>
      </c>
      <c r="V23" s="4" t="s">
        <v>26</v>
      </c>
      <c r="W23" s="4" t="s">
        <v>45</v>
      </c>
      <c r="X23" s="4" t="s">
        <v>37</v>
      </c>
      <c r="Y23" s="5">
        <v>10</v>
      </c>
    </row>
    <row r="24" spans="1:25" ht="15" thickBot="1" x14ac:dyDescent="0.35">
      <c r="A24" s="3">
        <v>10341</v>
      </c>
      <c r="B24" s="4" t="s">
        <v>24</v>
      </c>
      <c r="C24" s="4" t="s">
        <v>38</v>
      </c>
      <c r="D24" s="5">
        <v>22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73</v>
      </c>
      <c r="N24" s="5">
        <v>29</v>
      </c>
      <c r="O24" s="5">
        <v>44</v>
      </c>
      <c r="P24" s="5">
        <v>0</v>
      </c>
      <c r="Q24" s="5">
        <v>36</v>
      </c>
      <c r="R24" s="5">
        <v>20</v>
      </c>
      <c r="S24" s="5">
        <v>16</v>
      </c>
      <c r="T24" s="5">
        <v>0</v>
      </c>
      <c r="U24" s="5">
        <v>109</v>
      </c>
      <c r="V24" s="4" t="s">
        <v>26</v>
      </c>
      <c r="W24" s="4" t="s">
        <v>39</v>
      </c>
      <c r="X24" s="4" t="s">
        <v>80</v>
      </c>
      <c r="Y24" s="5">
        <v>2</v>
      </c>
    </row>
    <row r="25" spans="1:25" ht="15" thickBot="1" x14ac:dyDescent="0.35">
      <c r="A25" s="3">
        <v>10342</v>
      </c>
      <c r="B25" s="4" t="s">
        <v>24</v>
      </c>
      <c r="C25" s="4" t="s">
        <v>29</v>
      </c>
      <c r="D25" s="5">
        <v>31</v>
      </c>
      <c r="E25" s="5">
        <v>124</v>
      </c>
      <c r="F25" s="5">
        <v>67</v>
      </c>
      <c r="G25" s="5">
        <v>57</v>
      </c>
      <c r="H25" s="5">
        <v>0</v>
      </c>
      <c r="I25" s="5">
        <v>171</v>
      </c>
      <c r="J25" s="5">
        <v>79</v>
      </c>
      <c r="K25" s="5">
        <v>92</v>
      </c>
      <c r="L25" s="5">
        <v>0</v>
      </c>
      <c r="M25" s="5">
        <v>293</v>
      </c>
      <c r="N25" s="5">
        <v>137</v>
      </c>
      <c r="O25" s="5">
        <v>151</v>
      </c>
      <c r="P25" s="5">
        <v>5</v>
      </c>
      <c r="Q25" s="5">
        <v>0</v>
      </c>
      <c r="R25" s="5">
        <v>0</v>
      </c>
      <c r="S25" s="5">
        <v>0</v>
      </c>
      <c r="T25" s="5">
        <v>0</v>
      </c>
      <c r="U25" s="5">
        <v>588</v>
      </c>
      <c r="V25" s="4" t="s">
        <v>26</v>
      </c>
      <c r="W25" s="4" t="s">
        <v>30</v>
      </c>
      <c r="X25" s="4" t="s">
        <v>31</v>
      </c>
      <c r="Y25" s="5">
        <v>4</v>
      </c>
    </row>
    <row r="26" spans="1:25" ht="15" thickBot="1" x14ac:dyDescent="0.35">
      <c r="A26" s="3">
        <v>12457</v>
      </c>
      <c r="B26" s="4" t="s">
        <v>24</v>
      </c>
      <c r="C26" s="4" t="s">
        <v>33</v>
      </c>
      <c r="D26" s="5">
        <v>10</v>
      </c>
      <c r="E26" s="5">
        <v>75</v>
      </c>
      <c r="F26" s="5">
        <v>34</v>
      </c>
      <c r="G26" s="5">
        <v>41</v>
      </c>
      <c r="H26" s="5">
        <v>0</v>
      </c>
      <c r="I26" s="5">
        <v>128</v>
      </c>
      <c r="J26" s="5">
        <v>60</v>
      </c>
      <c r="K26" s="5">
        <v>68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203</v>
      </c>
      <c r="V26" s="4" t="s">
        <v>26</v>
      </c>
      <c r="W26" s="4" t="s">
        <v>33</v>
      </c>
      <c r="X26" s="4" t="s">
        <v>67</v>
      </c>
      <c r="Y26" s="5">
        <v>2</v>
      </c>
    </row>
    <row r="27" spans="1:25" ht="15" thickBot="1" x14ac:dyDescent="0.35">
      <c r="A27" s="3">
        <v>12458</v>
      </c>
      <c r="B27" s="4" t="s">
        <v>24</v>
      </c>
      <c r="C27" s="4" t="s">
        <v>44</v>
      </c>
      <c r="D27" s="5">
        <v>16</v>
      </c>
      <c r="E27" s="5">
        <v>85</v>
      </c>
      <c r="F27" s="5">
        <v>46</v>
      </c>
      <c r="G27" s="5">
        <v>39</v>
      </c>
      <c r="H27" s="5">
        <v>0</v>
      </c>
      <c r="I27" s="5">
        <v>157</v>
      </c>
      <c r="J27" s="5">
        <v>83</v>
      </c>
      <c r="K27" s="5">
        <v>74</v>
      </c>
      <c r="L27" s="5">
        <v>0</v>
      </c>
      <c r="M27" s="5">
        <v>287</v>
      </c>
      <c r="N27" s="5">
        <v>160</v>
      </c>
      <c r="O27" s="5">
        <v>127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529</v>
      </c>
      <c r="V27" s="4" t="s">
        <v>26</v>
      </c>
      <c r="W27" s="4" t="s">
        <v>45</v>
      </c>
      <c r="X27" s="4" t="s">
        <v>37</v>
      </c>
      <c r="Y27" s="5">
        <v>6</v>
      </c>
    </row>
    <row r="28" spans="1:25" ht="15" thickBot="1" x14ac:dyDescent="0.35">
      <c r="A28" s="3">
        <v>12459</v>
      </c>
      <c r="B28" s="4" t="s">
        <v>24</v>
      </c>
      <c r="C28" s="4" t="s">
        <v>38</v>
      </c>
      <c r="D28" s="5">
        <v>22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141</v>
      </c>
      <c r="N28" s="5">
        <v>78</v>
      </c>
      <c r="O28" s="5">
        <v>63</v>
      </c>
      <c r="P28" s="5">
        <v>0</v>
      </c>
      <c r="Q28" s="5">
        <v>26</v>
      </c>
      <c r="R28" s="5">
        <v>16</v>
      </c>
      <c r="S28" s="5">
        <v>10</v>
      </c>
      <c r="T28" s="5">
        <v>0</v>
      </c>
      <c r="U28" s="5">
        <v>167</v>
      </c>
      <c r="V28" s="4" t="s">
        <v>26</v>
      </c>
      <c r="W28" s="4" t="s">
        <v>39</v>
      </c>
      <c r="X28" s="4" t="s">
        <v>80</v>
      </c>
      <c r="Y28" s="5">
        <v>2</v>
      </c>
    </row>
    <row r="29" spans="1:25" ht="15" thickBot="1" x14ac:dyDescent="0.35">
      <c r="A29" s="3">
        <v>12460</v>
      </c>
      <c r="B29" s="4" t="s">
        <v>24</v>
      </c>
      <c r="C29" s="4" t="s">
        <v>29</v>
      </c>
      <c r="D29" s="5">
        <v>31</v>
      </c>
      <c r="E29" s="5">
        <v>107</v>
      </c>
      <c r="F29" s="5">
        <v>46</v>
      </c>
      <c r="G29" s="5">
        <v>61</v>
      </c>
      <c r="H29" s="5">
        <v>0</v>
      </c>
      <c r="I29" s="5">
        <v>163</v>
      </c>
      <c r="J29" s="5">
        <v>70</v>
      </c>
      <c r="K29" s="5">
        <v>93</v>
      </c>
      <c r="L29" s="5">
        <v>0</v>
      </c>
      <c r="M29" s="5">
        <v>116</v>
      </c>
      <c r="N29" s="5">
        <v>53</v>
      </c>
      <c r="O29" s="5">
        <v>63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386</v>
      </c>
      <c r="V29" s="4" t="s">
        <v>26</v>
      </c>
      <c r="W29" s="4" t="s">
        <v>30</v>
      </c>
      <c r="X29" s="4" t="s">
        <v>31</v>
      </c>
      <c r="Y29" s="5">
        <v>4</v>
      </c>
    </row>
    <row r="30" spans="1:25" ht="15" thickBot="1" x14ac:dyDescent="0.35">
      <c r="A30" s="3">
        <v>14533</v>
      </c>
      <c r="B30" s="4" t="s">
        <v>24</v>
      </c>
      <c r="C30" s="4" t="s">
        <v>33</v>
      </c>
      <c r="D30" s="5">
        <v>10</v>
      </c>
      <c r="E30" s="5">
        <v>94</v>
      </c>
      <c r="F30" s="5">
        <v>52</v>
      </c>
      <c r="G30" s="5">
        <v>42</v>
      </c>
      <c r="H30" s="5">
        <v>0</v>
      </c>
      <c r="I30" s="5">
        <v>121</v>
      </c>
      <c r="J30" s="5">
        <v>60</v>
      </c>
      <c r="K30" s="5">
        <v>61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215</v>
      </c>
      <c r="V30" s="4" t="s">
        <v>26</v>
      </c>
      <c r="W30" s="4" t="s">
        <v>33</v>
      </c>
      <c r="X30" s="4" t="s">
        <v>67</v>
      </c>
      <c r="Y30" s="5">
        <v>2</v>
      </c>
    </row>
    <row r="31" spans="1:25" ht="15" thickBot="1" x14ac:dyDescent="0.35">
      <c r="A31" s="3">
        <v>14534</v>
      </c>
      <c r="B31" s="4" t="s">
        <v>24</v>
      </c>
      <c r="C31" s="4" t="s">
        <v>44</v>
      </c>
      <c r="D31" s="5">
        <v>16</v>
      </c>
      <c r="E31" s="5">
        <v>93</v>
      </c>
      <c r="F31" s="5">
        <v>48</v>
      </c>
      <c r="G31" s="5">
        <v>45</v>
      </c>
      <c r="H31" s="5">
        <v>0</v>
      </c>
      <c r="I31" s="5">
        <v>222</v>
      </c>
      <c r="J31" s="5">
        <v>108</v>
      </c>
      <c r="K31" s="5">
        <v>114</v>
      </c>
      <c r="L31" s="5">
        <v>0</v>
      </c>
      <c r="M31" s="5">
        <v>300</v>
      </c>
      <c r="N31" s="5">
        <v>155</v>
      </c>
      <c r="O31" s="5">
        <v>145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615</v>
      </c>
      <c r="V31" s="4" t="s">
        <v>26</v>
      </c>
      <c r="W31" s="4" t="s">
        <v>45</v>
      </c>
      <c r="X31" s="4" t="s">
        <v>37</v>
      </c>
      <c r="Y31" s="5">
        <v>6</v>
      </c>
    </row>
    <row r="32" spans="1:25" ht="15" thickBot="1" x14ac:dyDescent="0.35">
      <c r="A32" s="3">
        <v>14535</v>
      </c>
      <c r="B32" s="4" t="s">
        <v>24</v>
      </c>
      <c r="C32" s="4" t="s">
        <v>38</v>
      </c>
      <c r="D32" s="5">
        <v>22</v>
      </c>
      <c r="E32" s="5">
        <v>0</v>
      </c>
      <c r="F32" s="5">
        <v>0</v>
      </c>
      <c r="G32" s="5">
        <v>0</v>
      </c>
      <c r="H32" s="5">
        <v>0</v>
      </c>
      <c r="I32" s="5">
        <v>42</v>
      </c>
      <c r="J32" s="5">
        <v>24</v>
      </c>
      <c r="K32" s="5">
        <v>18</v>
      </c>
      <c r="L32" s="5">
        <v>0</v>
      </c>
      <c r="M32" s="5">
        <v>67</v>
      </c>
      <c r="N32" s="5">
        <v>37</v>
      </c>
      <c r="O32" s="5">
        <v>30</v>
      </c>
      <c r="P32" s="5">
        <v>0</v>
      </c>
      <c r="Q32" s="5">
        <v>30</v>
      </c>
      <c r="R32" s="5">
        <v>18</v>
      </c>
      <c r="S32" s="5">
        <v>12</v>
      </c>
      <c r="T32" s="5">
        <v>0</v>
      </c>
      <c r="U32" s="5">
        <v>139</v>
      </c>
      <c r="V32" s="4" t="s">
        <v>26</v>
      </c>
      <c r="W32" s="4" t="s">
        <v>39</v>
      </c>
      <c r="X32" s="4" t="s">
        <v>80</v>
      </c>
      <c r="Y32" s="5">
        <v>2</v>
      </c>
    </row>
    <row r="33" spans="1:25" ht="15" thickBot="1" x14ac:dyDescent="0.35">
      <c r="A33" s="3">
        <v>14536</v>
      </c>
      <c r="B33" s="4" t="s">
        <v>24</v>
      </c>
      <c r="C33" s="4" t="s">
        <v>29</v>
      </c>
      <c r="D33" s="5">
        <v>31</v>
      </c>
      <c r="E33" s="5">
        <v>189</v>
      </c>
      <c r="F33" s="5">
        <v>97</v>
      </c>
      <c r="G33" s="5">
        <v>92</v>
      </c>
      <c r="H33" s="5">
        <v>0</v>
      </c>
      <c r="I33" s="5">
        <v>255</v>
      </c>
      <c r="J33" s="5">
        <v>119</v>
      </c>
      <c r="K33" s="5">
        <v>136</v>
      </c>
      <c r="L33" s="5">
        <v>0</v>
      </c>
      <c r="M33" s="5">
        <v>172</v>
      </c>
      <c r="N33" s="5">
        <v>100</v>
      </c>
      <c r="O33" s="5">
        <v>72</v>
      </c>
      <c r="P33" s="5">
        <v>0</v>
      </c>
      <c r="Q33" s="5">
        <v>27</v>
      </c>
      <c r="R33" s="5">
        <v>16</v>
      </c>
      <c r="S33" s="5">
        <v>11</v>
      </c>
      <c r="T33" s="5">
        <v>0</v>
      </c>
      <c r="U33" s="5">
        <v>643</v>
      </c>
      <c r="V33" s="4" t="s">
        <v>26</v>
      </c>
      <c r="W33" s="4" t="s">
        <v>30</v>
      </c>
      <c r="X33" s="4" t="s">
        <v>31</v>
      </c>
      <c r="Y33" s="5">
        <v>4</v>
      </c>
    </row>
    <row r="34" spans="1:25" ht="15" thickBot="1" x14ac:dyDescent="0.35">
      <c r="A34" s="3">
        <v>40</v>
      </c>
      <c r="B34" s="4" t="s">
        <v>32</v>
      </c>
      <c r="C34" s="4" t="s">
        <v>33</v>
      </c>
      <c r="D34" s="5">
        <v>10</v>
      </c>
      <c r="E34" s="5">
        <v>62</v>
      </c>
      <c r="F34" s="5">
        <v>27</v>
      </c>
      <c r="G34" s="5">
        <v>35</v>
      </c>
      <c r="H34" s="5">
        <v>0</v>
      </c>
      <c r="I34" s="5">
        <v>43</v>
      </c>
      <c r="J34" s="5">
        <v>18</v>
      </c>
      <c r="K34" s="5">
        <v>25</v>
      </c>
      <c r="L34" s="5">
        <v>0</v>
      </c>
      <c r="M34" s="5">
        <v>36</v>
      </c>
      <c r="N34" s="5">
        <v>9</v>
      </c>
      <c r="O34" s="5">
        <v>27</v>
      </c>
      <c r="P34" s="5">
        <v>0</v>
      </c>
      <c r="Q34" s="5">
        <v>8</v>
      </c>
      <c r="R34" s="5">
        <v>3</v>
      </c>
      <c r="S34" s="5">
        <v>5</v>
      </c>
      <c r="T34" s="5">
        <v>0</v>
      </c>
      <c r="U34" s="5">
        <v>149</v>
      </c>
      <c r="V34" s="4" t="s">
        <v>26</v>
      </c>
      <c r="W34" s="4" t="s">
        <v>33</v>
      </c>
      <c r="X34" s="4" t="s">
        <v>34</v>
      </c>
      <c r="Y34" s="5">
        <v>1</v>
      </c>
    </row>
    <row r="35" spans="1:25" ht="15" thickBot="1" x14ac:dyDescent="0.35">
      <c r="A35" s="3">
        <v>41</v>
      </c>
      <c r="B35" s="4" t="s">
        <v>32</v>
      </c>
      <c r="C35" s="4" t="s">
        <v>38</v>
      </c>
      <c r="D35" s="5">
        <v>22</v>
      </c>
      <c r="E35" s="5">
        <v>0</v>
      </c>
      <c r="F35" s="5">
        <v>0</v>
      </c>
      <c r="G35" s="5">
        <v>0</v>
      </c>
      <c r="H35" s="5">
        <v>0</v>
      </c>
      <c r="I35" s="5">
        <v>65</v>
      </c>
      <c r="J35" s="5">
        <v>22</v>
      </c>
      <c r="K35" s="5">
        <v>43</v>
      </c>
      <c r="L35" s="5">
        <v>0</v>
      </c>
      <c r="M35" s="5">
        <v>129</v>
      </c>
      <c r="N35" s="5">
        <v>55</v>
      </c>
      <c r="O35" s="5">
        <v>74</v>
      </c>
      <c r="P35" s="5">
        <v>0</v>
      </c>
      <c r="Q35" s="5">
        <v>167</v>
      </c>
      <c r="R35" s="5">
        <v>69</v>
      </c>
      <c r="S35" s="5">
        <v>98</v>
      </c>
      <c r="T35" s="5">
        <v>0</v>
      </c>
      <c r="U35" s="5">
        <v>361</v>
      </c>
      <c r="V35" s="4" t="s">
        <v>26</v>
      </c>
      <c r="W35" s="4" t="s">
        <v>39</v>
      </c>
      <c r="X35" s="4" t="s">
        <v>40</v>
      </c>
      <c r="Y35" s="5">
        <v>3</v>
      </c>
    </row>
    <row r="36" spans="1:25" ht="15" thickBot="1" x14ac:dyDescent="0.35">
      <c r="A36" s="3">
        <v>42</v>
      </c>
      <c r="B36" s="4" t="s">
        <v>32</v>
      </c>
      <c r="C36" s="4" t="s">
        <v>35</v>
      </c>
      <c r="D36" s="5">
        <v>25</v>
      </c>
      <c r="E36" s="5">
        <v>12</v>
      </c>
      <c r="F36" s="5">
        <v>5</v>
      </c>
      <c r="G36" s="5">
        <v>7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51</v>
      </c>
      <c r="N36" s="5">
        <v>22</v>
      </c>
      <c r="O36" s="5">
        <v>29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63</v>
      </c>
      <c r="V36" s="4" t="s">
        <v>26</v>
      </c>
      <c r="W36" s="4" t="s">
        <v>36</v>
      </c>
      <c r="X36" s="4" t="s">
        <v>37</v>
      </c>
      <c r="Y36" s="5">
        <v>1</v>
      </c>
    </row>
    <row r="37" spans="1:25" ht="15" thickBot="1" x14ac:dyDescent="0.35">
      <c r="A37" s="3">
        <v>1102</v>
      </c>
      <c r="B37" s="4" t="s">
        <v>32</v>
      </c>
      <c r="C37" s="4" t="s">
        <v>33</v>
      </c>
      <c r="D37" s="5">
        <v>10</v>
      </c>
      <c r="E37" s="5">
        <v>62</v>
      </c>
      <c r="F37" s="5">
        <v>27</v>
      </c>
      <c r="G37" s="5">
        <v>35</v>
      </c>
      <c r="H37" s="5">
        <v>0</v>
      </c>
      <c r="I37" s="5">
        <v>43</v>
      </c>
      <c r="J37" s="5">
        <v>18</v>
      </c>
      <c r="K37" s="5">
        <v>25</v>
      </c>
      <c r="L37" s="5">
        <v>0</v>
      </c>
      <c r="M37" s="5">
        <v>36</v>
      </c>
      <c r="N37" s="5">
        <v>9</v>
      </c>
      <c r="O37" s="5">
        <v>27</v>
      </c>
      <c r="P37" s="5">
        <v>0</v>
      </c>
      <c r="Q37" s="5">
        <v>8</v>
      </c>
      <c r="R37" s="5">
        <v>3</v>
      </c>
      <c r="S37" s="5">
        <v>5</v>
      </c>
      <c r="T37" s="5">
        <v>0</v>
      </c>
      <c r="U37" s="5">
        <v>149</v>
      </c>
      <c r="V37" s="4" t="s">
        <v>26</v>
      </c>
      <c r="W37" s="4" t="s">
        <v>33</v>
      </c>
      <c r="X37" s="4" t="s">
        <v>34</v>
      </c>
      <c r="Y37" s="5">
        <v>1</v>
      </c>
    </row>
    <row r="38" spans="1:25" ht="15" thickBot="1" x14ac:dyDescent="0.35">
      <c r="A38" s="3">
        <v>1103</v>
      </c>
      <c r="B38" s="4" t="s">
        <v>32</v>
      </c>
      <c r="C38" s="4" t="s">
        <v>38</v>
      </c>
      <c r="D38" s="5">
        <v>22</v>
      </c>
      <c r="E38" s="5">
        <v>0</v>
      </c>
      <c r="F38" s="5">
        <v>0</v>
      </c>
      <c r="G38" s="5">
        <v>0</v>
      </c>
      <c r="H38" s="5">
        <v>0</v>
      </c>
      <c r="I38" s="5">
        <v>55</v>
      </c>
      <c r="J38" s="5">
        <v>5</v>
      </c>
      <c r="K38" s="5">
        <v>50</v>
      </c>
      <c r="L38" s="5">
        <v>0</v>
      </c>
      <c r="M38" s="5">
        <v>161</v>
      </c>
      <c r="N38" s="5">
        <v>78</v>
      </c>
      <c r="O38" s="5">
        <v>83</v>
      </c>
      <c r="P38" s="5">
        <v>0</v>
      </c>
      <c r="Q38" s="5">
        <v>58</v>
      </c>
      <c r="R38" s="5">
        <v>17</v>
      </c>
      <c r="S38" s="5">
        <v>41</v>
      </c>
      <c r="T38" s="5">
        <v>0</v>
      </c>
      <c r="U38" s="5">
        <v>274</v>
      </c>
      <c r="V38" s="4" t="s">
        <v>26</v>
      </c>
      <c r="W38" s="4" t="s">
        <v>39</v>
      </c>
      <c r="X38" s="4" t="s">
        <v>40</v>
      </c>
      <c r="Y38" s="5">
        <v>4</v>
      </c>
    </row>
    <row r="39" spans="1:25" ht="15" thickBot="1" x14ac:dyDescent="0.35">
      <c r="A39" s="3">
        <v>1104</v>
      </c>
      <c r="B39" s="4" t="s">
        <v>32</v>
      </c>
      <c r="C39" s="4" t="s">
        <v>35</v>
      </c>
      <c r="D39" s="5">
        <v>25</v>
      </c>
      <c r="E39" s="5">
        <v>0</v>
      </c>
      <c r="F39" s="5">
        <v>0</v>
      </c>
      <c r="G39" s="5">
        <v>0</v>
      </c>
      <c r="H39" s="5">
        <v>0</v>
      </c>
      <c r="I39" s="5">
        <v>32</v>
      </c>
      <c r="J39" s="5">
        <v>15</v>
      </c>
      <c r="K39" s="5">
        <v>17</v>
      </c>
      <c r="L39" s="5">
        <v>0</v>
      </c>
      <c r="M39" s="5">
        <v>6</v>
      </c>
      <c r="N39" s="5">
        <v>3</v>
      </c>
      <c r="O39" s="5">
        <v>3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38</v>
      </c>
      <c r="V39" s="4" t="s">
        <v>26</v>
      </c>
      <c r="W39" s="4" t="s">
        <v>36</v>
      </c>
      <c r="X39" s="4" t="s">
        <v>37</v>
      </c>
      <c r="Y39" s="5">
        <v>1</v>
      </c>
    </row>
    <row r="40" spans="1:25" ht="15" thickBot="1" x14ac:dyDescent="0.35">
      <c r="A40" s="3">
        <v>2794</v>
      </c>
      <c r="B40" s="4" t="s">
        <v>32</v>
      </c>
      <c r="C40" s="4" t="s">
        <v>33</v>
      </c>
      <c r="D40" s="5">
        <v>10</v>
      </c>
      <c r="E40" s="5">
        <v>33</v>
      </c>
      <c r="F40" s="5">
        <v>15</v>
      </c>
      <c r="G40" s="5">
        <v>18</v>
      </c>
      <c r="H40" s="5">
        <v>0</v>
      </c>
      <c r="I40" s="5">
        <v>60</v>
      </c>
      <c r="J40" s="5">
        <v>30</v>
      </c>
      <c r="K40" s="5">
        <v>30</v>
      </c>
      <c r="L40" s="5">
        <v>0</v>
      </c>
      <c r="M40" s="5">
        <v>65</v>
      </c>
      <c r="N40" s="5">
        <v>29</v>
      </c>
      <c r="O40" s="5">
        <v>36</v>
      </c>
      <c r="P40" s="5">
        <v>0</v>
      </c>
      <c r="Q40" s="5">
        <v>49</v>
      </c>
      <c r="R40" s="5">
        <v>19</v>
      </c>
      <c r="S40" s="5">
        <v>30</v>
      </c>
      <c r="T40" s="5">
        <v>0</v>
      </c>
      <c r="U40" s="5">
        <v>207</v>
      </c>
      <c r="V40" s="4" t="s">
        <v>26</v>
      </c>
      <c r="W40" s="4" t="s">
        <v>33</v>
      </c>
      <c r="X40" s="4" t="s">
        <v>34</v>
      </c>
      <c r="Y40" s="5">
        <v>1</v>
      </c>
    </row>
    <row r="41" spans="1:25" ht="15" thickBot="1" x14ac:dyDescent="0.35">
      <c r="A41" s="3">
        <v>2795</v>
      </c>
      <c r="B41" s="4" t="s">
        <v>32</v>
      </c>
      <c r="C41" s="4" t="s">
        <v>38</v>
      </c>
      <c r="D41" s="5">
        <v>22</v>
      </c>
      <c r="E41" s="5">
        <v>0</v>
      </c>
      <c r="F41" s="5">
        <v>0</v>
      </c>
      <c r="G41" s="5">
        <v>0</v>
      </c>
      <c r="H41" s="5">
        <v>0</v>
      </c>
      <c r="I41" s="5">
        <v>98</v>
      </c>
      <c r="J41" s="5">
        <v>45</v>
      </c>
      <c r="K41" s="5">
        <v>53</v>
      </c>
      <c r="L41" s="5">
        <v>0</v>
      </c>
      <c r="M41" s="5">
        <v>162</v>
      </c>
      <c r="N41" s="5">
        <v>64</v>
      </c>
      <c r="O41" s="5">
        <v>98</v>
      </c>
      <c r="P41" s="5">
        <v>0</v>
      </c>
      <c r="Q41" s="5">
        <v>53</v>
      </c>
      <c r="R41" s="5">
        <v>25</v>
      </c>
      <c r="S41" s="5">
        <v>28</v>
      </c>
      <c r="T41" s="5">
        <v>0</v>
      </c>
      <c r="U41" s="5">
        <v>313</v>
      </c>
      <c r="V41" s="4" t="s">
        <v>26</v>
      </c>
      <c r="W41" s="4" t="s">
        <v>39</v>
      </c>
      <c r="X41" s="4" t="s">
        <v>40</v>
      </c>
      <c r="Y41" s="5">
        <v>4</v>
      </c>
    </row>
    <row r="42" spans="1:25" ht="15" thickBot="1" x14ac:dyDescent="0.35">
      <c r="A42" s="3">
        <v>2796</v>
      </c>
      <c r="B42" s="4" t="s">
        <v>32</v>
      </c>
      <c r="C42" s="4" t="s">
        <v>35</v>
      </c>
      <c r="D42" s="5">
        <v>25</v>
      </c>
      <c r="E42" s="5">
        <v>3</v>
      </c>
      <c r="F42" s="5">
        <v>0</v>
      </c>
      <c r="G42" s="5">
        <v>3</v>
      </c>
      <c r="H42" s="5">
        <v>0</v>
      </c>
      <c r="I42" s="5">
        <v>52</v>
      </c>
      <c r="J42" s="5">
        <v>17</v>
      </c>
      <c r="K42" s="5">
        <v>35</v>
      </c>
      <c r="L42" s="5">
        <v>0</v>
      </c>
      <c r="M42" s="5">
        <v>50</v>
      </c>
      <c r="N42" s="5">
        <v>7</v>
      </c>
      <c r="O42" s="5">
        <v>43</v>
      </c>
      <c r="P42" s="5">
        <v>0</v>
      </c>
      <c r="Q42" s="5">
        <v>72</v>
      </c>
      <c r="R42" s="5">
        <v>30</v>
      </c>
      <c r="S42" s="5">
        <v>42</v>
      </c>
      <c r="T42" s="5">
        <v>0</v>
      </c>
      <c r="U42" s="5">
        <v>177</v>
      </c>
      <c r="V42" s="4" t="s">
        <v>26</v>
      </c>
      <c r="W42" s="4" t="s">
        <v>36</v>
      </c>
      <c r="X42" s="4" t="s">
        <v>37</v>
      </c>
      <c r="Y42" s="5">
        <v>2</v>
      </c>
    </row>
    <row r="43" spans="1:25" ht="15" thickBot="1" x14ac:dyDescent="0.35">
      <c r="A43" s="3">
        <v>4538</v>
      </c>
      <c r="B43" s="4" t="s">
        <v>32</v>
      </c>
      <c r="C43" s="4" t="s">
        <v>33</v>
      </c>
      <c r="D43" s="5">
        <v>10</v>
      </c>
      <c r="E43" s="5">
        <v>62</v>
      </c>
      <c r="F43" s="5">
        <v>26</v>
      </c>
      <c r="G43" s="5">
        <v>36</v>
      </c>
      <c r="H43" s="5">
        <v>0</v>
      </c>
      <c r="I43" s="5">
        <v>96</v>
      </c>
      <c r="J43" s="5">
        <v>43</v>
      </c>
      <c r="K43" s="5">
        <v>53</v>
      </c>
      <c r="L43" s="5">
        <v>0</v>
      </c>
      <c r="M43" s="5">
        <v>94</v>
      </c>
      <c r="N43" s="5">
        <v>42</v>
      </c>
      <c r="O43" s="5">
        <v>52</v>
      </c>
      <c r="P43" s="5">
        <v>0</v>
      </c>
      <c r="Q43" s="5">
        <v>31</v>
      </c>
      <c r="R43" s="5">
        <v>14</v>
      </c>
      <c r="S43" s="5">
        <v>17</v>
      </c>
      <c r="T43" s="5">
        <v>0</v>
      </c>
      <c r="U43" s="5">
        <v>283</v>
      </c>
      <c r="V43" s="4" t="s">
        <v>26</v>
      </c>
      <c r="W43" s="4" t="s">
        <v>33</v>
      </c>
      <c r="X43" s="4" t="s">
        <v>34</v>
      </c>
      <c r="Y43" s="5">
        <v>2</v>
      </c>
    </row>
    <row r="44" spans="1:25" ht="15" thickBot="1" x14ac:dyDescent="0.35">
      <c r="A44" s="3">
        <v>4539</v>
      </c>
      <c r="B44" s="4" t="s">
        <v>32</v>
      </c>
      <c r="C44" s="4" t="s">
        <v>38</v>
      </c>
      <c r="D44" s="5">
        <v>22</v>
      </c>
      <c r="E44" s="5">
        <v>19</v>
      </c>
      <c r="F44" s="5">
        <v>7</v>
      </c>
      <c r="G44" s="5">
        <v>12</v>
      </c>
      <c r="H44" s="5">
        <v>0</v>
      </c>
      <c r="I44" s="5">
        <v>85</v>
      </c>
      <c r="J44" s="5">
        <v>37</v>
      </c>
      <c r="K44" s="5">
        <v>48</v>
      </c>
      <c r="L44" s="5">
        <v>0</v>
      </c>
      <c r="M44" s="5">
        <v>62</v>
      </c>
      <c r="N44" s="5">
        <v>29</v>
      </c>
      <c r="O44" s="5">
        <v>33</v>
      </c>
      <c r="P44" s="5">
        <v>0</v>
      </c>
      <c r="Q44" s="5">
        <v>33</v>
      </c>
      <c r="R44" s="5">
        <v>15</v>
      </c>
      <c r="S44" s="5">
        <v>18</v>
      </c>
      <c r="T44" s="5">
        <v>0</v>
      </c>
      <c r="U44" s="5">
        <v>199</v>
      </c>
      <c r="V44" s="4" t="s">
        <v>26</v>
      </c>
      <c r="W44" s="4" t="s">
        <v>39</v>
      </c>
      <c r="X44" s="4" t="s">
        <v>40</v>
      </c>
      <c r="Y44" s="5">
        <v>4</v>
      </c>
    </row>
    <row r="45" spans="1:25" ht="15" thickBot="1" x14ac:dyDescent="0.35">
      <c r="A45" s="3">
        <v>4540</v>
      </c>
      <c r="B45" s="4" t="s">
        <v>32</v>
      </c>
      <c r="C45" s="4" t="s">
        <v>35</v>
      </c>
      <c r="D45" s="5">
        <v>25</v>
      </c>
      <c r="E45" s="5">
        <v>0</v>
      </c>
      <c r="F45" s="5">
        <v>0</v>
      </c>
      <c r="G45" s="5">
        <v>0</v>
      </c>
      <c r="H45" s="5">
        <v>0</v>
      </c>
      <c r="I45" s="5">
        <v>5</v>
      </c>
      <c r="J45" s="5">
        <v>0</v>
      </c>
      <c r="K45" s="5">
        <v>5</v>
      </c>
      <c r="L45" s="5">
        <v>0</v>
      </c>
      <c r="M45" s="5">
        <v>15</v>
      </c>
      <c r="N45" s="5">
        <v>6</v>
      </c>
      <c r="O45" s="5">
        <v>9</v>
      </c>
      <c r="P45" s="5">
        <v>0</v>
      </c>
      <c r="Q45" s="5">
        <v>3</v>
      </c>
      <c r="R45" s="5">
        <v>0</v>
      </c>
      <c r="S45" s="5">
        <v>3</v>
      </c>
      <c r="T45" s="5">
        <v>0</v>
      </c>
      <c r="U45" s="5">
        <v>23</v>
      </c>
      <c r="V45" s="4" t="s">
        <v>26</v>
      </c>
      <c r="W45" s="4" t="s">
        <v>36</v>
      </c>
      <c r="X45" s="4" t="s">
        <v>37</v>
      </c>
      <c r="Y45" s="5">
        <v>1</v>
      </c>
    </row>
    <row r="46" spans="1:25" ht="15" thickBot="1" x14ac:dyDescent="0.35">
      <c r="A46" s="3">
        <v>6482</v>
      </c>
      <c r="B46" s="4" t="s">
        <v>32</v>
      </c>
      <c r="C46" s="4" t="s">
        <v>33</v>
      </c>
      <c r="D46" s="5">
        <v>10</v>
      </c>
      <c r="E46" s="5">
        <v>62</v>
      </c>
      <c r="F46" s="5">
        <v>26</v>
      </c>
      <c r="G46" s="5">
        <v>36</v>
      </c>
      <c r="H46" s="5">
        <v>0</v>
      </c>
      <c r="I46" s="5">
        <v>117</v>
      </c>
      <c r="J46" s="5">
        <v>54</v>
      </c>
      <c r="K46" s="5">
        <v>63</v>
      </c>
      <c r="L46" s="5">
        <v>0</v>
      </c>
      <c r="M46" s="5">
        <v>121</v>
      </c>
      <c r="N46" s="5">
        <v>54</v>
      </c>
      <c r="O46" s="5">
        <v>67</v>
      </c>
      <c r="P46" s="5">
        <v>0</v>
      </c>
      <c r="Q46" s="5">
        <v>39</v>
      </c>
      <c r="R46" s="5">
        <v>17</v>
      </c>
      <c r="S46" s="5">
        <v>22</v>
      </c>
      <c r="T46" s="5">
        <v>0</v>
      </c>
      <c r="U46" s="5">
        <v>339</v>
      </c>
      <c r="V46" s="4" t="s">
        <v>26</v>
      </c>
      <c r="W46" s="4" t="s">
        <v>33</v>
      </c>
      <c r="X46" s="4" t="s">
        <v>34</v>
      </c>
      <c r="Y46" s="5">
        <v>3</v>
      </c>
    </row>
    <row r="47" spans="1:25" ht="15" thickBot="1" x14ac:dyDescent="0.35">
      <c r="A47" s="3">
        <v>6483</v>
      </c>
      <c r="B47" s="4" t="s">
        <v>32</v>
      </c>
      <c r="C47" s="4" t="s">
        <v>44</v>
      </c>
      <c r="D47" s="5">
        <v>16</v>
      </c>
      <c r="E47" s="5">
        <v>0</v>
      </c>
      <c r="F47" s="5">
        <v>0</v>
      </c>
      <c r="G47" s="5">
        <v>0</v>
      </c>
      <c r="H47" s="5">
        <v>0</v>
      </c>
      <c r="I47" s="5">
        <v>16</v>
      </c>
      <c r="J47" s="5">
        <v>11</v>
      </c>
      <c r="K47" s="5">
        <v>5</v>
      </c>
      <c r="L47" s="5">
        <v>0</v>
      </c>
      <c r="M47" s="5">
        <v>21</v>
      </c>
      <c r="N47" s="5">
        <v>8</v>
      </c>
      <c r="O47" s="5">
        <v>13</v>
      </c>
      <c r="P47" s="5">
        <v>0</v>
      </c>
      <c r="Q47" s="5">
        <v>8</v>
      </c>
      <c r="R47" s="5">
        <v>8</v>
      </c>
      <c r="S47" s="5">
        <v>0</v>
      </c>
      <c r="T47" s="5">
        <v>0</v>
      </c>
      <c r="U47" s="5">
        <v>45</v>
      </c>
      <c r="V47" s="4" t="s">
        <v>26</v>
      </c>
      <c r="W47" s="4" t="s">
        <v>45</v>
      </c>
      <c r="X47" s="4" t="s">
        <v>37</v>
      </c>
      <c r="Y47" s="5">
        <v>2</v>
      </c>
    </row>
    <row r="48" spans="1:25" ht="15" thickBot="1" x14ac:dyDescent="0.35">
      <c r="A48" s="3">
        <v>6484</v>
      </c>
      <c r="B48" s="4" t="s">
        <v>32</v>
      </c>
      <c r="C48" s="4" t="s">
        <v>38</v>
      </c>
      <c r="D48" s="5">
        <v>22</v>
      </c>
      <c r="E48" s="5">
        <v>4</v>
      </c>
      <c r="F48" s="5">
        <v>2</v>
      </c>
      <c r="G48" s="5">
        <v>2</v>
      </c>
      <c r="H48" s="5">
        <v>0</v>
      </c>
      <c r="I48" s="5">
        <v>16</v>
      </c>
      <c r="J48" s="5">
        <v>5</v>
      </c>
      <c r="K48" s="5">
        <v>11</v>
      </c>
      <c r="L48" s="5">
        <v>0</v>
      </c>
      <c r="M48" s="5">
        <v>90</v>
      </c>
      <c r="N48" s="5">
        <v>38</v>
      </c>
      <c r="O48" s="5">
        <v>52</v>
      </c>
      <c r="P48" s="5">
        <v>0</v>
      </c>
      <c r="Q48" s="5">
        <v>43</v>
      </c>
      <c r="R48" s="5">
        <v>29</v>
      </c>
      <c r="S48" s="5">
        <v>14</v>
      </c>
      <c r="T48" s="5">
        <v>0</v>
      </c>
      <c r="U48" s="5">
        <v>153</v>
      </c>
      <c r="V48" s="4" t="s">
        <v>26</v>
      </c>
      <c r="W48" s="4" t="s">
        <v>39</v>
      </c>
      <c r="X48" s="4" t="s">
        <v>40</v>
      </c>
      <c r="Y48" s="5">
        <v>4</v>
      </c>
    </row>
    <row r="49" spans="1:25" ht="15" thickBot="1" x14ac:dyDescent="0.35">
      <c r="A49" s="3">
        <v>6485</v>
      </c>
      <c r="B49" s="4" t="s">
        <v>32</v>
      </c>
      <c r="C49" s="4" t="s">
        <v>35</v>
      </c>
      <c r="D49" s="5">
        <v>25</v>
      </c>
      <c r="E49" s="5">
        <v>2</v>
      </c>
      <c r="F49" s="5">
        <v>1</v>
      </c>
      <c r="G49" s="5">
        <v>1</v>
      </c>
      <c r="H49" s="5">
        <v>0</v>
      </c>
      <c r="I49" s="5">
        <v>5</v>
      </c>
      <c r="J49" s="5">
        <v>3</v>
      </c>
      <c r="K49" s="5">
        <v>2</v>
      </c>
      <c r="L49" s="5">
        <v>0</v>
      </c>
      <c r="M49" s="5">
        <v>4</v>
      </c>
      <c r="N49" s="5">
        <v>2</v>
      </c>
      <c r="O49" s="5">
        <v>2</v>
      </c>
      <c r="P49" s="5">
        <v>0</v>
      </c>
      <c r="Q49" s="5">
        <v>3</v>
      </c>
      <c r="R49" s="5">
        <v>1</v>
      </c>
      <c r="S49" s="5">
        <v>2</v>
      </c>
      <c r="T49" s="5">
        <v>0</v>
      </c>
      <c r="U49" s="5">
        <v>14</v>
      </c>
      <c r="V49" s="4" t="s">
        <v>26</v>
      </c>
      <c r="W49" s="4" t="s">
        <v>36</v>
      </c>
      <c r="X49" s="4" t="s">
        <v>37</v>
      </c>
      <c r="Y49" s="5">
        <v>1</v>
      </c>
    </row>
    <row r="50" spans="1:25" ht="15" thickBot="1" x14ac:dyDescent="0.35">
      <c r="A50" s="3">
        <v>6486</v>
      </c>
      <c r="B50" s="4" t="s">
        <v>32</v>
      </c>
      <c r="C50" s="4" t="s">
        <v>29</v>
      </c>
      <c r="D50" s="5">
        <v>31</v>
      </c>
      <c r="E50" s="5">
        <v>25</v>
      </c>
      <c r="F50" s="5">
        <v>10</v>
      </c>
      <c r="G50" s="5">
        <v>15</v>
      </c>
      <c r="H50" s="5">
        <v>0</v>
      </c>
      <c r="I50" s="5">
        <v>41</v>
      </c>
      <c r="J50" s="5">
        <v>20</v>
      </c>
      <c r="K50" s="5">
        <v>21</v>
      </c>
      <c r="L50" s="5">
        <v>0</v>
      </c>
      <c r="M50" s="5">
        <v>65</v>
      </c>
      <c r="N50" s="5">
        <v>30</v>
      </c>
      <c r="O50" s="5">
        <v>35</v>
      </c>
      <c r="P50" s="5">
        <v>0</v>
      </c>
      <c r="Q50" s="5">
        <v>36</v>
      </c>
      <c r="R50" s="5">
        <v>25</v>
      </c>
      <c r="S50" s="5">
        <v>11</v>
      </c>
      <c r="T50" s="5">
        <v>0</v>
      </c>
      <c r="U50" s="5">
        <v>167</v>
      </c>
      <c r="V50" s="4" t="s">
        <v>26</v>
      </c>
      <c r="W50" s="4" t="s">
        <v>30</v>
      </c>
      <c r="X50" s="4" t="s">
        <v>31</v>
      </c>
      <c r="Y50" s="5">
        <v>1</v>
      </c>
    </row>
    <row r="51" spans="1:25" ht="15" thickBot="1" x14ac:dyDescent="0.35">
      <c r="A51" s="3">
        <v>8579</v>
      </c>
      <c r="B51" s="4" t="s">
        <v>32</v>
      </c>
      <c r="C51" s="4" t="s">
        <v>33</v>
      </c>
      <c r="D51" s="5">
        <v>10</v>
      </c>
      <c r="E51" s="5">
        <v>62</v>
      </c>
      <c r="F51" s="5">
        <v>26</v>
      </c>
      <c r="G51" s="5">
        <v>36</v>
      </c>
      <c r="H51" s="5">
        <v>0</v>
      </c>
      <c r="I51" s="5">
        <v>141</v>
      </c>
      <c r="J51" s="5">
        <v>43</v>
      </c>
      <c r="K51" s="5">
        <v>53</v>
      </c>
      <c r="L51" s="5">
        <v>45</v>
      </c>
      <c r="M51" s="5">
        <v>94</v>
      </c>
      <c r="N51" s="5">
        <v>42</v>
      </c>
      <c r="O51" s="5">
        <v>52</v>
      </c>
      <c r="P51" s="5">
        <v>0</v>
      </c>
      <c r="Q51" s="5">
        <v>31</v>
      </c>
      <c r="R51" s="5">
        <v>14</v>
      </c>
      <c r="S51" s="5">
        <v>17</v>
      </c>
      <c r="T51" s="5">
        <v>0</v>
      </c>
      <c r="U51" s="5">
        <v>328</v>
      </c>
      <c r="V51" s="4" t="s">
        <v>26</v>
      </c>
      <c r="W51" s="4" t="s">
        <v>33</v>
      </c>
      <c r="X51" s="4" t="s">
        <v>34</v>
      </c>
      <c r="Y51" s="5">
        <v>2</v>
      </c>
    </row>
    <row r="52" spans="1:25" ht="15" thickBot="1" x14ac:dyDescent="0.35">
      <c r="A52" s="3">
        <v>8580</v>
      </c>
      <c r="B52" s="4" t="s">
        <v>32</v>
      </c>
      <c r="C52" s="4" t="s">
        <v>44</v>
      </c>
      <c r="D52" s="5">
        <v>16</v>
      </c>
      <c r="E52" s="5">
        <v>0</v>
      </c>
      <c r="F52" s="5">
        <v>0</v>
      </c>
      <c r="G52" s="5">
        <v>0</v>
      </c>
      <c r="H52" s="5">
        <v>0</v>
      </c>
      <c r="I52" s="5">
        <v>16</v>
      </c>
      <c r="J52" s="5">
        <v>11</v>
      </c>
      <c r="K52" s="5">
        <v>5</v>
      </c>
      <c r="L52" s="5">
        <v>0</v>
      </c>
      <c r="M52" s="5">
        <v>13</v>
      </c>
      <c r="N52" s="5">
        <v>7</v>
      </c>
      <c r="O52" s="5">
        <v>6</v>
      </c>
      <c r="P52" s="5">
        <v>0</v>
      </c>
      <c r="Q52" s="5">
        <v>9</v>
      </c>
      <c r="R52" s="5">
        <v>6</v>
      </c>
      <c r="S52" s="5">
        <v>3</v>
      </c>
      <c r="T52" s="5">
        <v>0</v>
      </c>
      <c r="U52" s="5">
        <v>38</v>
      </c>
      <c r="V52" s="4" t="s">
        <v>26</v>
      </c>
      <c r="W52" s="4" t="s">
        <v>45</v>
      </c>
      <c r="X52" s="4" t="s">
        <v>37</v>
      </c>
      <c r="Y52" s="5">
        <v>2</v>
      </c>
    </row>
    <row r="53" spans="1:25" ht="15" thickBot="1" x14ac:dyDescent="0.35">
      <c r="A53" s="3">
        <v>8581</v>
      </c>
      <c r="B53" s="4" t="s">
        <v>32</v>
      </c>
      <c r="C53" s="4" t="s">
        <v>38</v>
      </c>
      <c r="D53" s="5">
        <v>22</v>
      </c>
      <c r="E53" s="5">
        <v>26</v>
      </c>
      <c r="F53" s="5">
        <v>10</v>
      </c>
      <c r="G53" s="5">
        <v>16</v>
      </c>
      <c r="H53" s="5">
        <v>0</v>
      </c>
      <c r="I53" s="5">
        <v>92</v>
      </c>
      <c r="J53" s="5">
        <v>42</v>
      </c>
      <c r="K53" s="5">
        <v>50</v>
      </c>
      <c r="L53" s="5">
        <v>0</v>
      </c>
      <c r="M53" s="5">
        <v>78</v>
      </c>
      <c r="N53" s="5">
        <v>31</v>
      </c>
      <c r="O53" s="5">
        <v>47</v>
      </c>
      <c r="P53" s="5">
        <v>0</v>
      </c>
      <c r="Q53" s="5">
        <v>40</v>
      </c>
      <c r="R53" s="5">
        <v>17</v>
      </c>
      <c r="S53" s="5">
        <v>23</v>
      </c>
      <c r="T53" s="5">
        <v>0</v>
      </c>
      <c r="U53" s="5">
        <v>236</v>
      </c>
      <c r="V53" s="4" t="s">
        <v>26</v>
      </c>
      <c r="W53" s="4" t="s">
        <v>39</v>
      </c>
      <c r="X53" s="4" t="s">
        <v>40</v>
      </c>
      <c r="Y53" s="5">
        <v>4</v>
      </c>
    </row>
    <row r="54" spans="1:25" ht="15" thickBot="1" x14ac:dyDescent="0.35">
      <c r="A54" s="3">
        <v>8582</v>
      </c>
      <c r="B54" s="4" t="s">
        <v>32</v>
      </c>
      <c r="C54" s="4" t="s">
        <v>35</v>
      </c>
      <c r="D54" s="5">
        <v>25</v>
      </c>
      <c r="E54" s="5">
        <v>0</v>
      </c>
      <c r="F54" s="5">
        <v>0</v>
      </c>
      <c r="G54" s="5">
        <v>0</v>
      </c>
      <c r="H54" s="5">
        <v>0</v>
      </c>
      <c r="I54" s="5">
        <v>20</v>
      </c>
      <c r="J54" s="5">
        <v>15</v>
      </c>
      <c r="K54" s="5">
        <v>5</v>
      </c>
      <c r="L54" s="5">
        <v>0</v>
      </c>
      <c r="M54" s="5">
        <v>1</v>
      </c>
      <c r="N54" s="5">
        <v>0</v>
      </c>
      <c r="O54" s="5">
        <v>1</v>
      </c>
      <c r="P54" s="5">
        <v>0</v>
      </c>
      <c r="Q54" s="5">
        <v>4</v>
      </c>
      <c r="R54" s="5">
        <v>1</v>
      </c>
      <c r="S54" s="5">
        <v>3</v>
      </c>
      <c r="T54" s="5">
        <v>0</v>
      </c>
      <c r="U54" s="5">
        <v>25</v>
      </c>
      <c r="V54" s="4" t="s">
        <v>26</v>
      </c>
      <c r="W54" s="4" t="s">
        <v>36</v>
      </c>
      <c r="X54" s="4" t="s">
        <v>37</v>
      </c>
      <c r="Y54" s="5">
        <v>1</v>
      </c>
    </row>
    <row r="55" spans="1:25" ht="15" thickBot="1" x14ac:dyDescent="0.35">
      <c r="A55" s="3">
        <v>8583</v>
      </c>
      <c r="B55" s="4" t="s">
        <v>32</v>
      </c>
      <c r="C55" s="4" t="s">
        <v>29</v>
      </c>
      <c r="D55" s="5">
        <v>31</v>
      </c>
      <c r="E55" s="5">
        <v>33</v>
      </c>
      <c r="F55" s="5">
        <v>15</v>
      </c>
      <c r="G55" s="5">
        <v>18</v>
      </c>
      <c r="H55" s="5">
        <v>0</v>
      </c>
      <c r="I55" s="5">
        <v>55</v>
      </c>
      <c r="J55" s="5">
        <v>25</v>
      </c>
      <c r="K55" s="5">
        <v>30</v>
      </c>
      <c r="L55" s="5">
        <v>0</v>
      </c>
      <c r="M55" s="5">
        <v>41</v>
      </c>
      <c r="N55" s="5">
        <v>18</v>
      </c>
      <c r="O55" s="5">
        <v>23</v>
      </c>
      <c r="P55" s="5">
        <v>0</v>
      </c>
      <c r="Q55" s="5">
        <v>17</v>
      </c>
      <c r="R55" s="5">
        <v>5</v>
      </c>
      <c r="S55" s="5">
        <v>12</v>
      </c>
      <c r="T55" s="5">
        <v>0</v>
      </c>
      <c r="U55" s="5">
        <v>146</v>
      </c>
      <c r="V55" s="4" t="s">
        <v>26</v>
      </c>
      <c r="W55" s="4" t="s">
        <v>30</v>
      </c>
      <c r="X55" s="4" t="s">
        <v>31</v>
      </c>
      <c r="Y55" s="5">
        <v>1</v>
      </c>
    </row>
    <row r="56" spans="1:25" ht="15" thickBot="1" x14ac:dyDescent="0.35">
      <c r="A56" s="3">
        <v>10693</v>
      </c>
      <c r="B56" s="4" t="s">
        <v>32</v>
      </c>
      <c r="C56" s="4" t="s">
        <v>33</v>
      </c>
      <c r="D56" s="5">
        <v>10</v>
      </c>
      <c r="E56" s="5">
        <v>62</v>
      </c>
      <c r="F56" s="5">
        <v>26</v>
      </c>
      <c r="G56" s="5">
        <v>36</v>
      </c>
      <c r="H56" s="5">
        <v>0</v>
      </c>
      <c r="I56" s="5">
        <v>96</v>
      </c>
      <c r="J56" s="5">
        <v>43</v>
      </c>
      <c r="K56" s="5">
        <v>53</v>
      </c>
      <c r="L56" s="5">
        <v>0</v>
      </c>
      <c r="M56" s="5">
        <v>94</v>
      </c>
      <c r="N56" s="5">
        <v>42</v>
      </c>
      <c r="O56" s="5">
        <v>52</v>
      </c>
      <c r="P56" s="5">
        <v>0</v>
      </c>
      <c r="Q56" s="5">
        <v>31</v>
      </c>
      <c r="R56" s="5">
        <v>14</v>
      </c>
      <c r="S56" s="5">
        <v>17</v>
      </c>
      <c r="T56" s="5">
        <v>0</v>
      </c>
      <c r="U56" s="5">
        <v>283</v>
      </c>
      <c r="V56" s="4" t="s">
        <v>26</v>
      </c>
      <c r="W56" s="4" t="s">
        <v>33</v>
      </c>
      <c r="X56" s="4" t="s">
        <v>34</v>
      </c>
      <c r="Y56" s="5">
        <v>2</v>
      </c>
    </row>
    <row r="57" spans="1:25" ht="15" thickBot="1" x14ac:dyDescent="0.35">
      <c r="A57" s="3">
        <v>10694</v>
      </c>
      <c r="B57" s="4" t="s">
        <v>32</v>
      </c>
      <c r="C57" s="4" t="s">
        <v>44</v>
      </c>
      <c r="D57" s="5">
        <v>16</v>
      </c>
      <c r="E57" s="5">
        <v>0</v>
      </c>
      <c r="F57" s="5">
        <v>0</v>
      </c>
      <c r="G57" s="5">
        <v>0</v>
      </c>
      <c r="H57" s="5">
        <v>0</v>
      </c>
      <c r="I57" s="5">
        <v>16</v>
      </c>
      <c r="J57" s="5">
        <v>11</v>
      </c>
      <c r="K57" s="5">
        <v>5</v>
      </c>
      <c r="L57" s="5">
        <v>0</v>
      </c>
      <c r="M57" s="5">
        <v>13</v>
      </c>
      <c r="N57" s="5">
        <v>7</v>
      </c>
      <c r="O57" s="5">
        <v>6</v>
      </c>
      <c r="P57" s="5">
        <v>0</v>
      </c>
      <c r="Q57" s="5">
        <v>3</v>
      </c>
      <c r="R57" s="5">
        <v>3</v>
      </c>
      <c r="S57" s="5">
        <v>0</v>
      </c>
      <c r="T57" s="5">
        <v>0</v>
      </c>
      <c r="U57" s="5">
        <v>32</v>
      </c>
      <c r="V57" s="4" t="s">
        <v>26</v>
      </c>
      <c r="W57" s="4" t="s">
        <v>45</v>
      </c>
      <c r="X57" s="4" t="s">
        <v>37</v>
      </c>
      <c r="Y57" s="5">
        <v>2</v>
      </c>
    </row>
    <row r="58" spans="1:25" ht="15" thickBot="1" x14ac:dyDescent="0.35">
      <c r="A58" s="3">
        <v>10695</v>
      </c>
      <c r="B58" s="4" t="s">
        <v>32</v>
      </c>
      <c r="C58" s="4" t="s">
        <v>38</v>
      </c>
      <c r="D58" s="5">
        <v>22</v>
      </c>
      <c r="E58" s="5">
        <v>4</v>
      </c>
      <c r="F58" s="5">
        <v>1</v>
      </c>
      <c r="G58" s="5">
        <v>3</v>
      </c>
      <c r="H58" s="5">
        <v>0</v>
      </c>
      <c r="I58" s="5">
        <v>54</v>
      </c>
      <c r="J58" s="5">
        <v>12</v>
      </c>
      <c r="K58" s="5">
        <v>42</v>
      </c>
      <c r="L58" s="5">
        <v>0</v>
      </c>
      <c r="M58" s="5">
        <v>72</v>
      </c>
      <c r="N58" s="5">
        <v>36</v>
      </c>
      <c r="O58" s="5">
        <v>36</v>
      </c>
      <c r="P58" s="5">
        <v>0</v>
      </c>
      <c r="Q58" s="5">
        <v>70</v>
      </c>
      <c r="R58" s="5">
        <v>27</v>
      </c>
      <c r="S58" s="5">
        <v>43</v>
      </c>
      <c r="T58" s="5">
        <v>0</v>
      </c>
      <c r="U58" s="5">
        <v>200</v>
      </c>
      <c r="V58" s="4" t="s">
        <v>26</v>
      </c>
      <c r="W58" s="4" t="s">
        <v>39</v>
      </c>
      <c r="X58" s="4" t="s">
        <v>40</v>
      </c>
      <c r="Y58" s="5">
        <v>4</v>
      </c>
    </row>
    <row r="59" spans="1:25" ht="15" thickBot="1" x14ac:dyDescent="0.35">
      <c r="A59" s="3">
        <v>10696</v>
      </c>
      <c r="B59" s="4" t="s">
        <v>32</v>
      </c>
      <c r="C59" s="4" t="s">
        <v>35</v>
      </c>
      <c r="D59" s="5">
        <v>25</v>
      </c>
      <c r="E59" s="5">
        <v>0</v>
      </c>
      <c r="F59" s="5">
        <v>0</v>
      </c>
      <c r="G59" s="5">
        <v>0</v>
      </c>
      <c r="H59" s="5">
        <v>0</v>
      </c>
      <c r="I59" s="5">
        <v>7</v>
      </c>
      <c r="J59" s="5">
        <v>5</v>
      </c>
      <c r="K59" s="5">
        <v>2</v>
      </c>
      <c r="L59" s="5">
        <v>0</v>
      </c>
      <c r="M59" s="5">
        <v>12</v>
      </c>
      <c r="N59" s="5">
        <v>5</v>
      </c>
      <c r="O59" s="5">
        <v>7</v>
      </c>
      <c r="P59" s="5">
        <v>0</v>
      </c>
      <c r="Q59" s="5">
        <v>3</v>
      </c>
      <c r="R59" s="5">
        <v>0</v>
      </c>
      <c r="S59" s="5">
        <v>3</v>
      </c>
      <c r="T59" s="5">
        <v>0</v>
      </c>
      <c r="U59" s="5">
        <v>22</v>
      </c>
      <c r="V59" s="4" t="s">
        <v>26</v>
      </c>
      <c r="W59" s="4" t="s">
        <v>36</v>
      </c>
      <c r="X59" s="4" t="s">
        <v>37</v>
      </c>
      <c r="Y59" s="5">
        <v>1</v>
      </c>
    </row>
    <row r="60" spans="1:25" ht="15" thickBot="1" x14ac:dyDescent="0.35">
      <c r="A60" s="3">
        <v>10697</v>
      </c>
      <c r="B60" s="4" t="s">
        <v>32</v>
      </c>
      <c r="C60" s="4" t="s">
        <v>29</v>
      </c>
      <c r="D60" s="5">
        <v>31</v>
      </c>
      <c r="E60" s="5">
        <v>45</v>
      </c>
      <c r="F60" s="5">
        <v>25</v>
      </c>
      <c r="G60" s="5">
        <v>20</v>
      </c>
      <c r="H60" s="5">
        <v>0</v>
      </c>
      <c r="I60" s="5">
        <v>75</v>
      </c>
      <c r="J60" s="5">
        <v>35</v>
      </c>
      <c r="K60" s="5">
        <v>40</v>
      </c>
      <c r="L60" s="5">
        <v>0</v>
      </c>
      <c r="M60" s="5">
        <v>45</v>
      </c>
      <c r="N60" s="5">
        <v>19</v>
      </c>
      <c r="O60" s="5">
        <v>26</v>
      </c>
      <c r="P60" s="5">
        <v>0</v>
      </c>
      <c r="Q60" s="5">
        <v>50</v>
      </c>
      <c r="R60" s="5">
        <v>25</v>
      </c>
      <c r="S60" s="5">
        <v>25</v>
      </c>
      <c r="T60" s="5">
        <v>0</v>
      </c>
      <c r="U60" s="5">
        <v>215</v>
      </c>
      <c r="V60" s="4" t="s">
        <v>26</v>
      </c>
      <c r="W60" s="4" t="s">
        <v>30</v>
      </c>
      <c r="X60" s="4" t="s">
        <v>31</v>
      </c>
      <c r="Y60" s="5">
        <v>1</v>
      </c>
    </row>
    <row r="61" spans="1:25" ht="15" thickBot="1" x14ac:dyDescent="0.35">
      <c r="A61" s="3">
        <v>12786</v>
      </c>
      <c r="B61" s="4" t="s">
        <v>32</v>
      </c>
      <c r="C61" s="4" t="s">
        <v>33</v>
      </c>
      <c r="D61" s="5">
        <v>10</v>
      </c>
      <c r="E61" s="5">
        <v>58</v>
      </c>
      <c r="F61" s="5">
        <v>22</v>
      </c>
      <c r="G61" s="5">
        <v>36</v>
      </c>
      <c r="H61" s="5">
        <v>0</v>
      </c>
      <c r="I61" s="5">
        <v>96</v>
      </c>
      <c r="J61" s="5">
        <v>43</v>
      </c>
      <c r="K61" s="5">
        <v>53</v>
      </c>
      <c r="L61" s="5">
        <v>0</v>
      </c>
      <c r="M61" s="5">
        <v>94</v>
      </c>
      <c r="N61" s="5">
        <v>42</v>
      </c>
      <c r="O61" s="5">
        <v>52</v>
      </c>
      <c r="P61" s="5">
        <v>0</v>
      </c>
      <c r="Q61" s="5">
        <v>31</v>
      </c>
      <c r="R61" s="5">
        <v>14</v>
      </c>
      <c r="S61" s="5">
        <v>17</v>
      </c>
      <c r="T61" s="5">
        <v>0</v>
      </c>
      <c r="U61" s="5">
        <v>279</v>
      </c>
      <c r="V61" s="4" t="s">
        <v>26</v>
      </c>
      <c r="W61" s="4" t="s">
        <v>33</v>
      </c>
      <c r="X61" s="4" t="s">
        <v>34</v>
      </c>
      <c r="Y61" s="5">
        <v>2</v>
      </c>
    </row>
    <row r="62" spans="1:25" ht="15" thickBot="1" x14ac:dyDescent="0.35">
      <c r="A62" s="3">
        <v>12787</v>
      </c>
      <c r="B62" s="4" t="s">
        <v>32</v>
      </c>
      <c r="C62" s="4" t="s">
        <v>44</v>
      </c>
      <c r="D62" s="5">
        <v>16</v>
      </c>
      <c r="E62" s="5">
        <v>0</v>
      </c>
      <c r="F62" s="5">
        <v>0</v>
      </c>
      <c r="G62" s="5">
        <v>0</v>
      </c>
      <c r="H62" s="5">
        <v>0</v>
      </c>
      <c r="I62" s="5">
        <v>16</v>
      </c>
      <c r="J62" s="5">
        <v>11</v>
      </c>
      <c r="K62" s="5">
        <v>5</v>
      </c>
      <c r="L62" s="5">
        <v>0</v>
      </c>
      <c r="M62" s="5">
        <v>13</v>
      </c>
      <c r="N62" s="5">
        <v>7</v>
      </c>
      <c r="O62" s="5">
        <v>6</v>
      </c>
      <c r="P62" s="5">
        <v>0</v>
      </c>
      <c r="Q62" s="5">
        <v>8</v>
      </c>
      <c r="R62" s="5">
        <v>5</v>
      </c>
      <c r="S62" s="5">
        <v>3</v>
      </c>
      <c r="T62" s="5">
        <v>0</v>
      </c>
      <c r="U62" s="5">
        <v>37</v>
      </c>
      <c r="V62" s="4" t="s">
        <v>26</v>
      </c>
      <c r="W62" s="4" t="s">
        <v>45</v>
      </c>
      <c r="X62" s="4" t="s">
        <v>37</v>
      </c>
      <c r="Y62" s="5">
        <v>2</v>
      </c>
    </row>
    <row r="63" spans="1:25" ht="15" thickBot="1" x14ac:dyDescent="0.35">
      <c r="A63" s="3">
        <v>12788</v>
      </c>
      <c r="B63" s="4" t="s">
        <v>32</v>
      </c>
      <c r="C63" s="4" t="s">
        <v>38</v>
      </c>
      <c r="D63" s="5">
        <v>22</v>
      </c>
      <c r="E63" s="5">
        <v>10</v>
      </c>
      <c r="F63" s="5">
        <v>5</v>
      </c>
      <c r="G63" s="5">
        <v>5</v>
      </c>
      <c r="H63" s="5">
        <v>0</v>
      </c>
      <c r="I63" s="5">
        <v>84</v>
      </c>
      <c r="J63" s="5">
        <v>42</v>
      </c>
      <c r="K63" s="5">
        <v>42</v>
      </c>
      <c r="L63" s="5">
        <v>0</v>
      </c>
      <c r="M63" s="5">
        <v>99</v>
      </c>
      <c r="N63" s="5">
        <v>41</v>
      </c>
      <c r="O63" s="5">
        <v>58</v>
      </c>
      <c r="P63" s="5">
        <v>0</v>
      </c>
      <c r="Q63" s="5">
        <v>112</v>
      </c>
      <c r="R63" s="5">
        <v>48</v>
      </c>
      <c r="S63" s="5">
        <v>64</v>
      </c>
      <c r="T63" s="5">
        <v>0</v>
      </c>
      <c r="U63" s="5">
        <v>305</v>
      </c>
      <c r="V63" s="4" t="s">
        <v>26</v>
      </c>
      <c r="W63" s="4" t="s">
        <v>39</v>
      </c>
      <c r="X63" s="4" t="s">
        <v>40</v>
      </c>
      <c r="Y63" s="5">
        <v>4</v>
      </c>
    </row>
    <row r="64" spans="1:25" ht="15" thickBot="1" x14ac:dyDescent="0.35">
      <c r="A64" s="3">
        <v>12789</v>
      </c>
      <c r="B64" s="4" t="s">
        <v>32</v>
      </c>
      <c r="C64" s="4" t="s">
        <v>35</v>
      </c>
      <c r="D64" s="5">
        <v>25</v>
      </c>
      <c r="E64" s="5">
        <v>0</v>
      </c>
      <c r="F64" s="5">
        <v>0</v>
      </c>
      <c r="G64" s="5">
        <v>0</v>
      </c>
      <c r="H64" s="5">
        <v>0</v>
      </c>
      <c r="I64" s="5">
        <v>26</v>
      </c>
      <c r="J64" s="5">
        <v>5</v>
      </c>
      <c r="K64" s="5">
        <v>21</v>
      </c>
      <c r="L64" s="5">
        <v>0</v>
      </c>
      <c r="M64" s="5">
        <v>9</v>
      </c>
      <c r="N64" s="5">
        <v>5</v>
      </c>
      <c r="O64" s="5">
        <v>4</v>
      </c>
      <c r="P64" s="5">
        <v>0</v>
      </c>
      <c r="Q64" s="5">
        <v>1</v>
      </c>
      <c r="R64" s="5">
        <v>1</v>
      </c>
      <c r="S64" s="5">
        <v>0</v>
      </c>
      <c r="T64" s="5">
        <v>0</v>
      </c>
      <c r="U64" s="5">
        <v>36</v>
      </c>
      <c r="V64" s="4" t="s">
        <v>26</v>
      </c>
      <c r="W64" s="4" t="s">
        <v>36</v>
      </c>
      <c r="X64" s="4" t="s">
        <v>37</v>
      </c>
      <c r="Y64" s="5">
        <v>1</v>
      </c>
    </row>
    <row r="65" spans="1:25" ht="15" thickBot="1" x14ac:dyDescent="0.35">
      <c r="A65" s="3">
        <v>12790</v>
      </c>
      <c r="B65" s="4" t="s">
        <v>32</v>
      </c>
      <c r="C65" s="4" t="s">
        <v>29</v>
      </c>
      <c r="D65" s="5">
        <v>31</v>
      </c>
      <c r="E65" s="5">
        <v>30</v>
      </c>
      <c r="F65" s="5">
        <v>15</v>
      </c>
      <c r="G65" s="5">
        <v>15</v>
      </c>
      <c r="H65" s="5">
        <v>0</v>
      </c>
      <c r="I65" s="5">
        <v>51</v>
      </c>
      <c r="J65" s="5">
        <v>25</v>
      </c>
      <c r="K65" s="5">
        <v>26</v>
      </c>
      <c r="L65" s="5">
        <v>0</v>
      </c>
      <c r="M65" s="5">
        <v>63</v>
      </c>
      <c r="N65" s="5">
        <v>32</v>
      </c>
      <c r="O65" s="5">
        <v>31</v>
      </c>
      <c r="P65" s="5">
        <v>0</v>
      </c>
      <c r="Q65" s="5">
        <v>17</v>
      </c>
      <c r="R65" s="5">
        <v>5</v>
      </c>
      <c r="S65" s="5">
        <v>12</v>
      </c>
      <c r="T65" s="5">
        <v>0</v>
      </c>
      <c r="U65" s="5">
        <v>161</v>
      </c>
      <c r="V65" s="4" t="s">
        <v>26</v>
      </c>
      <c r="W65" s="4" t="s">
        <v>30</v>
      </c>
      <c r="X65" s="4" t="s">
        <v>31</v>
      </c>
      <c r="Y65" s="5">
        <v>1</v>
      </c>
    </row>
    <row r="66" spans="1:25" ht="15" thickBot="1" x14ac:dyDescent="0.35">
      <c r="A66" s="3">
        <v>1023</v>
      </c>
      <c r="B66" s="4" t="s">
        <v>41</v>
      </c>
      <c r="C66" s="4" t="s">
        <v>25</v>
      </c>
      <c r="D66" s="5">
        <v>34</v>
      </c>
      <c r="E66" s="5">
        <v>73</v>
      </c>
      <c r="F66" s="5">
        <v>22</v>
      </c>
      <c r="G66" s="5">
        <v>51</v>
      </c>
      <c r="H66" s="5">
        <v>0</v>
      </c>
      <c r="I66" s="5">
        <v>5</v>
      </c>
      <c r="J66" s="5">
        <v>2</v>
      </c>
      <c r="K66" s="5">
        <v>3</v>
      </c>
      <c r="L66" s="5">
        <v>0</v>
      </c>
      <c r="M66" s="5">
        <v>6</v>
      </c>
      <c r="N66" s="5">
        <v>3</v>
      </c>
      <c r="O66" s="5">
        <v>3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84</v>
      </c>
      <c r="V66" s="4" t="s">
        <v>42</v>
      </c>
      <c r="W66" s="4" t="s">
        <v>43</v>
      </c>
      <c r="X66" s="6" t="s">
        <v>28</v>
      </c>
      <c r="Y66" s="5">
        <v>3</v>
      </c>
    </row>
    <row r="67" spans="1:25" ht="15" thickBot="1" x14ac:dyDescent="0.35">
      <c r="A67" s="3">
        <v>1024</v>
      </c>
      <c r="B67" s="4" t="s">
        <v>41</v>
      </c>
      <c r="C67" s="4" t="s">
        <v>46</v>
      </c>
      <c r="D67" s="5">
        <v>13</v>
      </c>
      <c r="E67" s="5">
        <v>0</v>
      </c>
      <c r="F67" s="5">
        <v>0</v>
      </c>
      <c r="G67" s="5">
        <v>0</v>
      </c>
      <c r="H67" s="5">
        <v>0</v>
      </c>
      <c r="I67" s="5">
        <v>4</v>
      </c>
      <c r="J67" s="5">
        <v>4</v>
      </c>
      <c r="K67" s="5">
        <v>0</v>
      </c>
      <c r="L67" s="5">
        <v>0</v>
      </c>
      <c r="M67" s="5">
        <v>30</v>
      </c>
      <c r="N67" s="5">
        <v>24</v>
      </c>
      <c r="O67" s="5">
        <v>6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34</v>
      </c>
      <c r="V67" s="4" t="s">
        <v>42</v>
      </c>
      <c r="W67" s="4" t="s">
        <v>47</v>
      </c>
      <c r="X67" s="4" t="s">
        <v>48</v>
      </c>
      <c r="Y67" s="5">
        <v>1</v>
      </c>
    </row>
    <row r="68" spans="1:25" ht="15" thickBot="1" x14ac:dyDescent="0.35">
      <c r="A68" s="3">
        <v>1025</v>
      </c>
      <c r="B68" s="4" t="s">
        <v>41</v>
      </c>
      <c r="C68" s="4" t="s">
        <v>44</v>
      </c>
      <c r="D68" s="5">
        <v>16</v>
      </c>
      <c r="E68" s="5">
        <v>110</v>
      </c>
      <c r="F68" s="5">
        <v>48</v>
      </c>
      <c r="G68" s="5">
        <v>62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6</v>
      </c>
      <c r="N68" s="5">
        <v>5</v>
      </c>
      <c r="O68" s="5">
        <v>1</v>
      </c>
      <c r="P68" s="5">
        <v>0</v>
      </c>
      <c r="Q68" s="5">
        <v>2</v>
      </c>
      <c r="R68" s="5">
        <v>2</v>
      </c>
      <c r="S68" s="5">
        <v>0</v>
      </c>
      <c r="T68" s="5">
        <v>0</v>
      </c>
      <c r="U68" s="5">
        <v>118</v>
      </c>
      <c r="V68" s="4" t="s">
        <v>42</v>
      </c>
      <c r="W68" s="4" t="s">
        <v>45</v>
      </c>
      <c r="X68" s="4" t="s">
        <v>37</v>
      </c>
      <c r="Y68" s="5">
        <v>2</v>
      </c>
    </row>
    <row r="69" spans="1:25" ht="15" thickBot="1" x14ac:dyDescent="0.35">
      <c r="A69" s="3">
        <v>1026</v>
      </c>
      <c r="B69" s="4" t="s">
        <v>41</v>
      </c>
      <c r="C69" s="4" t="s">
        <v>38</v>
      </c>
      <c r="D69" s="5">
        <v>22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8</v>
      </c>
      <c r="N69" s="5">
        <v>7</v>
      </c>
      <c r="O69" s="5">
        <v>1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8</v>
      </c>
      <c r="V69" s="4" t="s">
        <v>42</v>
      </c>
      <c r="W69" s="4" t="s">
        <v>39</v>
      </c>
      <c r="X69" s="4" t="s">
        <v>37</v>
      </c>
      <c r="Y69" s="5">
        <v>1</v>
      </c>
    </row>
    <row r="70" spans="1:25" ht="15" thickBot="1" x14ac:dyDescent="0.35">
      <c r="A70" s="3">
        <v>2691</v>
      </c>
      <c r="B70" s="4" t="s">
        <v>41</v>
      </c>
      <c r="C70" s="4" t="s">
        <v>35</v>
      </c>
      <c r="D70" s="5">
        <v>25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11</v>
      </c>
      <c r="N70" s="5">
        <v>10</v>
      </c>
      <c r="O70" s="5">
        <v>1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11</v>
      </c>
      <c r="V70" s="4" t="s">
        <v>42</v>
      </c>
      <c r="W70" s="4" t="s">
        <v>36</v>
      </c>
      <c r="X70" s="4" t="s">
        <v>37</v>
      </c>
      <c r="Y70" s="5">
        <v>1</v>
      </c>
    </row>
    <row r="71" spans="1:25" ht="15" thickBot="1" x14ac:dyDescent="0.35">
      <c r="A71" s="3">
        <v>2692</v>
      </c>
      <c r="B71" s="4" t="s">
        <v>41</v>
      </c>
      <c r="C71" s="4" t="s">
        <v>25</v>
      </c>
      <c r="D71" s="5">
        <v>34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8</v>
      </c>
      <c r="N71" s="5">
        <v>8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8</v>
      </c>
      <c r="V71" s="4" t="s">
        <v>42</v>
      </c>
      <c r="W71" s="4" t="s">
        <v>27</v>
      </c>
      <c r="X71" s="6" t="s">
        <v>28</v>
      </c>
      <c r="Y71" s="5">
        <v>3</v>
      </c>
    </row>
    <row r="72" spans="1:25" ht="15" thickBot="1" x14ac:dyDescent="0.35">
      <c r="A72" s="3">
        <v>2693</v>
      </c>
      <c r="B72" s="4" t="s">
        <v>41</v>
      </c>
      <c r="C72" s="4" t="s">
        <v>33</v>
      </c>
      <c r="D72" s="5">
        <v>10</v>
      </c>
      <c r="E72" s="5">
        <v>0</v>
      </c>
      <c r="F72" s="5">
        <v>0</v>
      </c>
      <c r="G72" s="5">
        <v>0</v>
      </c>
      <c r="H72" s="5">
        <v>0</v>
      </c>
      <c r="I72" s="5">
        <v>63</v>
      </c>
      <c r="J72" s="5">
        <v>10</v>
      </c>
      <c r="K72" s="5">
        <v>53</v>
      </c>
      <c r="L72" s="5">
        <v>0</v>
      </c>
      <c r="M72" s="5">
        <v>70</v>
      </c>
      <c r="N72" s="5">
        <v>70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133</v>
      </c>
      <c r="V72" s="4" t="s">
        <v>42</v>
      </c>
      <c r="W72" s="4" t="s">
        <v>33</v>
      </c>
      <c r="X72" s="4" t="s">
        <v>67</v>
      </c>
      <c r="Y72" s="5">
        <v>2</v>
      </c>
    </row>
    <row r="73" spans="1:25" ht="15" thickBot="1" x14ac:dyDescent="0.35">
      <c r="A73" s="3">
        <v>2694</v>
      </c>
      <c r="B73" s="4" t="s">
        <v>41</v>
      </c>
      <c r="C73" s="4" t="s">
        <v>44</v>
      </c>
      <c r="D73" s="5">
        <v>16</v>
      </c>
      <c r="E73" s="5">
        <v>50</v>
      </c>
      <c r="F73" s="5">
        <v>8</v>
      </c>
      <c r="G73" s="5">
        <v>42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50</v>
      </c>
      <c r="V73" s="4" t="s">
        <v>42</v>
      </c>
      <c r="W73" s="4" t="s">
        <v>45</v>
      </c>
      <c r="X73" s="4" t="s">
        <v>37</v>
      </c>
      <c r="Y73" s="5">
        <v>1</v>
      </c>
    </row>
    <row r="74" spans="1:25" ht="15" thickBot="1" x14ac:dyDescent="0.35">
      <c r="A74" s="3">
        <v>2695</v>
      </c>
      <c r="B74" s="4" t="s">
        <v>41</v>
      </c>
      <c r="C74" s="4" t="s">
        <v>29</v>
      </c>
      <c r="D74" s="5">
        <v>31</v>
      </c>
      <c r="E74" s="5">
        <v>9</v>
      </c>
      <c r="F74" s="5">
        <v>3</v>
      </c>
      <c r="G74" s="5">
        <v>6</v>
      </c>
      <c r="H74" s="5">
        <v>0</v>
      </c>
      <c r="I74" s="5">
        <v>7</v>
      </c>
      <c r="J74" s="5">
        <v>2</v>
      </c>
      <c r="K74" s="5">
        <v>5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16</v>
      </c>
      <c r="V74" s="4" t="s">
        <v>42</v>
      </c>
      <c r="W74" s="4" t="s">
        <v>55</v>
      </c>
      <c r="X74" s="4" t="s">
        <v>84</v>
      </c>
      <c r="Y74" s="5">
        <v>1</v>
      </c>
    </row>
    <row r="75" spans="1:25" ht="15" thickBot="1" x14ac:dyDescent="0.35">
      <c r="A75" s="3">
        <v>4413</v>
      </c>
      <c r="B75" s="4" t="s">
        <v>41</v>
      </c>
      <c r="C75" s="4" t="s">
        <v>33</v>
      </c>
      <c r="D75" s="5">
        <v>10</v>
      </c>
      <c r="E75" s="5">
        <v>0</v>
      </c>
      <c r="F75" s="5">
        <v>0</v>
      </c>
      <c r="G75" s="5">
        <v>0</v>
      </c>
      <c r="H75" s="5">
        <v>0</v>
      </c>
      <c r="I75" s="5">
        <v>14</v>
      </c>
      <c r="J75" s="5">
        <v>4</v>
      </c>
      <c r="K75" s="5">
        <v>10</v>
      </c>
      <c r="L75" s="5">
        <v>0</v>
      </c>
      <c r="M75" s="5">
        <v>97</v>
      </c>
      <c r="N75" s="5">
        <v>97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111</v>
      </c>
      <c r="V75" s="4" t="s">
        <v>42</v>
      </c>
      <c r="W75" s="4" t="s">
        <v>33</v>
      </c>
      <c r="X75" s="4" t="s">
        <v>67</v>
      </c>
      <c r="Y75" s="5">
        <v>2</v>
      </c>
    </row>
    <row r="76" spans="1:25" ht="15" thickBot="1" x14ac:dyDescent="0.35">
      <c r="A76" s="3">
        <v>4414</v>
      </c>
      <c r="B76" s="4" t="s">
        <v>41</v>
      </c>
      <c r="C76" s="4" t="s">
        <v>38</v>
      </c>
      <c r="D76" s="5">
        <v>22</v>
      </c>
      <c r="E76" s="5">
        <v>0</v>
      </c>
      <c r="F76" s="5">
        <v>0</v>
      </c>
      <c r="G76" s="5">
        <v>0</v>
      </c>
      <c r="H76" s="5">
        <v>0</v>
      </c>
      <c r="I76" s="5">
        <v>1</v>
      </c>
      <c r="J76" s="5">
        <v>0</v>
      </c>
      <c r="K76" s="5">
        <v>1</v>
      </c>
      <c r="L76" s="5">
        <v>0</v>
      </c>
      <c r="M76" s="5">
        <v>2</v>
      </c>
      <c r="N76" s="5">
        <v>0</v>
      </c>
      <c r="O76" s="5">
        <v>2</v>
      </c>
      <c r="P76" s="5">
        <v>0</v>
      </c>
      <c r="Q76" s="5">
        <v>1</v>
      </c>
      <c r="R76" s="5">
        <v>1</v>
      </c>
      <c r="S76" s="5">
        <v>0</v>
      </c>
      <c r="T76" s="5">
        <v>0</v>
      </c>
      <c r="U76" s="5">
        <v>4</v>
      </c>
      <c r="V76" s="4" t="s">
        <v>42</v>
      </c>
      <c r="W76" s="4" t="s">
        <v>39</v>
      </c>
      <c r="X76" s="4" t="s">
        <v>78</v>
      </c>
      <c r="Y76" s="5">
        <v>2</v>
      </c>
    </row>
    <row r="77" spans="1:25" ht="15" thickBot="1" x14ac:dyDescent="0.35">
      <c r="A77" s="3">
        <v>4415</v>
      </c>
      <c r="B77" s="4" t="s">
        <v>41</v>
      </c>
      <c r="C77" s="4" t="s">
        <v>29</v>
      </c>
      <c r="D77" s="5">
        <v>31</v>
      </c>
      <c r="E77" s="5">
        <v>31</v>
      </c>
      <c r="F77" s="5">
        <v>6</v>
      </c>
      <c r="G77" s="5">
        <v>25</v>
      </c>
      <c r="H77" s="5">
        <v>0</v>
      </c>
      <c r="I77" s="5">
        <v>5</v>
      </c>
      <c r="J77" s="5">
        <v>0</v>
      </c>
      <c r="K77" s="5">
        <v>5</v>
      </c>
      <c r="L77" s="5">
        <v>0</v>
      </c>
      <c r="M77" s="5">
        <v>31</v>
      </c>
      <c r="N77" s="5">
        <v>21</v>
      </c>
      <c r="O77" s="5">
        <v>10</v>
      </c>
      <c r="P77" s="5">
        <v>0</v>
      </c>
      <c r="Q77" s="5">
        <v>11</v>
      </c>
      <c r="R77" s="5">
        <v>7</v>
      </c>
      <c r="S77" s="5">
        <v>4</v>
      </c>
      <c r="T77" s="5">
        <v>0</v>
      </c>
      <c r="U77" s="5">
        <v>78</v>
      </c>
      <c r="V77" s="4" t="s">
        <v>42</v>
      </c>
      <c r="W77" s="4" t="s">
        <v>30</v>
      </c>
      <c r="X77" s="4" t="s">
        <v>65</v>
      </c>
      <c r="Y77" s="5">
        <v>2</v>
      </c>
    </row>
    <row r="78" spans="1:25" ht="15" thickBot="1" x14ac:dyDescent="0.35">
      <c r="A78" s="3">
        <v>6350</v>
      </c>
      <c r="B78" s="4" t="s">
        <v>41</v>
      </c>
      <c r="C78" s="4" t="s">
        <v>33</v>
      </c>
      <c r="D78" s="5">
        <v>10</v>
      </c>
      <c r="E78" s="5">
        <v>0</v>
      </c>
      <c r="F78" s="5">
        <v>0</v>
      </c>
      <c r="G78" s="5">
        <v>0</v>
      </c>
      <c r="H78" s="5">
        <v>0</v>
      </c>
      <c r="I78" s="5">
        <v>2</v>
      </c>
      <c r="J78" s="5">
        <v>1</v>
      </c>
      <c r="K78" s="5">
        <v>1</v>
      </c>
      <c r="L78" s="5">
        <v>0</v>
      </c>
      <c r="M78" s="5">
        <v>27</v>
      </c>
      <c r="N78" s="5">
        <v>21</v>
      </c>
      <c r="O78" s="5">
        <v>6</v>
      </c>
      <c r="P78" s="5">
        <v>0</v>
      </c>
      <c r="Q78" s="5">
        <v>2</v>
      </c>
      <c r="R78" s="5">
        <v>2</v>
      </c>
      <c r="S78" s="5">
        <v>0</v>
      </c>
      <c r="T78" s="5">
        <v>0</v>
      </c>
      <c r="U78" s="5">
        <v>31</v>
      </c>
      <c r="V78" s="4" t="s">
        <v>42</v>
      </c>
      <c r="W78" s="4" t="s">
        <v>85</v>
      </c>
      <c r="X78" s="4" t="s">
        <v>86</v>
      </c>
      <c r="Y78" s="5">
        <v>4</v>
      </c>
    </row>
    <row r="79" spans="1:25" ht="15" thickBot="1" x14ac:dyDescent="0.35">
      <c r="A79" s="3">
        <v>6351</v>
      </c>
      <c r="B79" s="4" t="s">
        <v>41</v>
      </c>
      <c r="C79" s="4" t="s">
        <v>46</v>
      </c>
      <c r="D79" s="5">
        <v>13</v>
      </c>
      <c r="E79" s="5">
        <v>0</v>
      </c>
      <c r="F79" s="5">
        <v>0</v>
      </c>
      <c r="G79" s="5">
        <v>0</v>
      </c>
      <c r="H79" s="5">
        <v>0</v>
      </c>
      <c r="I79" s="5">
        <v>10</v>
      </c>
      <c r="J79" s="5">
        <v>9</v>
      </c>
      <c r="K79" s="5">
        <v>1</v>
      </c>
      <c r="L79" s="5">
        <v>0</v>
      </c>
      <c r="M79" s="5">
        <v>17</v>
      </c>
      <c r="N79" s="5">
        <v>15</v>
      </c>
      <c r="O79" s="5">
        <v>2</v>
      </c>
      <c r="P79" s="5">
        <v>0</v>
      </c>
      <c r="Q79" s="5">
        <v>2</v>
      </c>
      <c r="R79" s="5">
        <v>2</v>
      </c>
      <c r="S79" s="5">
        <v>0</v>
      </c>
      <c r="T79" s="5">
        <v>0</v>
      </c>
      <c r="U79" s="5">
        <v>29</v>
      </c>
      <c r="V79" s="4" t="s">
        <v>42</v>
      </c>
      <c r="W79" s="4" t="s">
        <v>68</v>
      </c>
      <c r="X79" s="4" t="s">
        <v>87</v>
      </c>
      <c r="Y79" s="5">
        <v>2</v>
      </c>
    </row>
    <row r="80" spans="1:25" ht="15" thickBot="1" x14ac:dyDescent="0.35">
      <c r="A80" s="3">
        <v>6352</v>
      </c>
      <c r="B80" s="4" t="s">
        <v>41</v>
      </c>
      <c r="C80" s="4" t="s">
        <v>38</v>
      </c>
      <c r="D80" s="5">
        <v>22</v>
      </c>
      <c r="E80" s="5">
        <v>0</v>
      </c>
      <c r="F80" s="5">
        <v>0</v>
      </c>
      <c r="G80" s="5">
        <v>0</v>
      </c>
      <c r="H80" s="5">
        <v>0</v>
      </c>
      <c r="I80" s="5">
        <v>1</v>
      </c>
      <c r="J80" s="5">
        <v>1</v>
      </c>
      <c r="K80" s="5">
        <v>0</v>
      </c>
      <c r="L80" s="5">
        <v>0</v>
      </c>
      <c r="M80" s="5">
        <v>4</v>
      </c>
      <c r="N80" s="5">
        <v>1</v>
      </c>
      <c r="O80" s="5">
        <v>3</v>
      </c>
      <c r="P80" s="5">
        <v>0</v>
      </c>
      <c r="Q80" s="5">
        <v>2</v>
      </c>
      <c r="R80" s="5">
        <v>0</v>
      </c>
      <c r="S80" s="5">
        <v>2</v>
      </c>
      <c r="T80" s="5">
        <v>0</v>
      </c>
      <c r="U80" s="5">
        <v>7</v>
      </c>
      <c r="V80" s="4" t="s">
        <v>42</v>
      </c>
      <c r="W80" s="4" t="s">
        <v>39</v>
      </c>
      <c r="X80" s="4" t="s">
        <v>80</v>
      </c>
      <c r="Y80" s="5">
        <v>2</v>
      </c>
    </row>
    <row r="81" spans="1:25" ht="15" thickBot="1" x14ac:dyDescent="0.35">
      <c r="A81" s="3">
        <v>6353</v>
      </c>
      <c r="B81" s="4" t="s">
        <v>41</v>
      </c>
      <c r="C81" s="4" t="s">
        <v>29</v>
      </c>
      <c r="D81" s="5">
        <v>31</v>
      </c>
      <c r="E81" s="5">
        <v>0</v>
      </c>
      <c r="F81" s="5">
        <v>0</v>
      </c>
      <c r="G81" s="5">
        <v>0</v>
      </c>
      <c r="H81" s="5">
        <v>0</v>
      </c>
      <c r="I81" s="5">
        <v>23</v>
      </c>
      <c r="J81" s="5">
        <v>9</v>
      </c>
      <c r="K81" s="5">
        <v>14</v>
      </c>
      <c r="L81" s="5">
        <v>0</v>
      </c>
      <c r="M81" s="5">
        <v>1</v>
      </c>
      <c r="N81" s="5">
        <v>0</v>
      </c>
      <c r="O81" s="5">
        <v>1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24</v>
      </c>
      <c r="V81" s="4" t="s">
        <v>42</v>
      </c>
      <c r="W81" s="4" t="s">
        <v>30</v>
      </c>
      <c r="X81" s="4" t="s">
        <v>65</v>
      </c>
      <c r="Y81" s="5">
        <v>2</v>
      </c>
    </row>
    <row r="82" spans="1:25" ht="15" thickBot="1" x14ac:dyDescent="0.35">
      <c r="A82" s="3">
        <v>8426</v>
      </c>
      <c r="B82" s="4" t="s">
        <v>41</v>
      </c>
      <c r="C82" s="4" t="s">
        <v>44</v>
      </c>
      <c r="D82" s="5">
        <v>16</v>
      </c>
      <c r="E82" s="5">
        <v>0</v>
      </c>
      <c r="F82" s="5">
        <v>0</v>
      </c>
      <c r="G82" s="5">
        <v>0</v>
      </c>
      <c r="H82" s="5">
        <v>0</v>
      </c>
      <c r="I82" s="5">
        <v>8</v>
      </c>
      <c r="J82" s="5">
        <v>6</v>
      </c>
      <c r="K82" s="5">
        <v>2</v>
      </c>
      <c r="L82" s="5">
        <v>0</v>
      </c>
      <c r="M82" s="5">
        <v>64</v>
      </c>
      <c r="N82" s="5">
        <v>47</v>
      </c>
      <c r="O82" s="5">
        <v>17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72</v>
      </c>
      <c r="V82" s="4" t="s">
        <v>42</v>
      </c>
      <c r="W82" s="4" t="s">
        <v>45</v>
      </c>
      <c r="X82" s="4" t="s">
        <v>83</v>
      </c>
      <c r="Y82" s="5">
        <v>3</v>
      </c>
    </row>
    <row r="83" spans="1:25" ht="15" thickBot="1" x14ac:dyDescent="0.35">
      <c r="A83" s="3">
        <v>8427</v>
      </c>
      <c r="B83" s="4" t="s">
        <v>41</v>
      </c>
      <c r="C83" s="4" t="s">
        <v>29</v>
      </c>
      <c r="D83" s="5">
        <v>31</v>
      </c>
      <c r="E83" s="5">
        <v>62</v>
      </c>
      <c r="F83" s="5">
        <v>13</v>
      </c>
      <c r="G83" s="5">
        <v>49</v>
      </c>
      <c r="H83" s="5">
        <v>0</v>
      </c>
      <c r="I83" s="5">
        <v>189</v>
      </c>
      <c r="J83" s="5">
        <v>150</v>
      </c>
      <c r="K83" s="5">
        <v>39</v>
      </c>
      <c r="L83" s="5">
        <v>0</v>
      </c>
      <c r="M83" s="5">
        <v>20</v>
      </c>
      <c r="N83" s="5">
        <v>6</v>
      </c>
      <c r="O83" s="5">
        <v>14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271</v>
      </c>
      <c r="V83" s="4" t="s">
        <v>42</v>
      </c>
      <c r="W83" s="4" t="s">
        <v>30</v>
      </c>
      <c r="X83" s="4" t="s">
        <v>65</v>
      </c>
      <c r="Y83" s="5">
        <v>2</v>
      </c>
    </row>
    <row r="84" spans="1:25" ht="15" thickBot="1" x14ac:dyDescent="0.35">
      <c r="A84" s="3">
        <v>10526</v>
      </c>
      <c r="B84" s="4" t="s">
        <v>41</v>
      </c>
      <c r="C84" s="4" t="s">
        <v>46</v>
      </c>
      <c r="D84" s="5">
        <v>13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44</v>
      </c>
      <c r="N84" s="5">
        <v>27</v>
      </c>
      <c r="O84" s="5">
        <v>17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44</v>
      </c>
      <c r="V84" s="4" t="s">
        <v>42</v>
      </c>
      <c r="W84" s="4" t="s">
        <v>68</v>
      </c>
      <c r="X84" s="4" t="s">
        <v>69</v>
      </c>
      <c r="Y84" s="5">
        <v>2</v>
      </c>
    </row>
    <row r="85" spans="1:25" ht="15" thickBot="1" x14ac:dyDescent="0.35">
      <c r="A85" s="3">
        <v>10527</v>
      </c>
      <c r="B85" s="4" t="s">
        <v>41</v>
      </c>
      <c r="C85" s="4" t="s">
        <v>44</v>
      </c>
      <c r="D85" s="5">
        <v>16</v>
      </c>
      <c r="E85" s="5">
        <v>27</v>
      </c>
      <c r="F85" s="5">
        <v>20</v>
      </c>
      <c r="G85" s="5">
        <v>7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60</v>
      </c>
      <c r="N85" s="5">
        <v>56</v>
      </c>
      <c r="O85" s="5">
        <v>4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87</v>
      </c>
      <c r="V85" s="4" t="s">
        <v>42</v>
      </c>
      <c r="W85" s="4" t="s">
        <v>45</v>
      </c>
      <c r="X85" s="4" t="s">
        <v>37</v>
      </c>
      <c r="Y85" s="5">
        <v>1</v>
      </c>
    </row>
    <row r="86" spans="1:25" ht="15" thickBot="1" x14ac:dyDescent="0.35">
      <c r="A86" s="3">
        <v>10528</v>
      </c>
      <c r="B86" s="4" t="s">
        <v>41</v>
      </c>
      <c r="C86" s="4" t="s">
        <v>74</v>
      </c>
      <c r="D86" s="5">
        <v>19</v>
      </c>
      <c r="E86" s="5">
        <v>0</v>
      </c>
      <c r="F86" s="5">
        <v>0</v>
      </c>
      <c r="G86" s="5">
        <v>0</v>
      </c>
      <c r="H86" s="5">
        <v>0</v>
      </c>
      <c r="I86" s="5">
        <v>1</v>
      </c>
      <c r="J86" s="5">
        <v>1</v>
      </c>
      <c r="K86" s="5">
        <v>0</v>
      </c>
      <c r="L86" s="5">
        <v>0</v>
      </c>
      <c r="M86" s="5">
        <v>19</v>
      </c>
      <c r="N86" s="5">
        <v>15</v>
      </c>
      <c r="O86" s="5">
        <v>4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20</v>
      </c>
      <c r="V86" s="4" t="s">
        <v>42</v>
      </c>
      <c r="W86" s="4" t="s">
        <v>74</v>
      </c>
      <c r="X86" s="4" t="s">
        <v>37</v>
      </c>
      <c r="Y86" s="5">
        <v>1</v>
      </c>
    </row>
    <row r="87" spans="1:25" ht="15" thickBot="1" x14ac:dyDescent="0.35">
      <c r="A87" s="3">
        <v>10529</v>
      </c>
      <c r="B87" s="4" t="s">
        <v>41</v>
      </c>
      <c r="C87" s="4" t="s">
        <v>38</v>
      </c>
      <c r="D87" s="5">
        <v>22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9</v>
      </c>
      <c r="N87" s="5">
        <v>7</v>
      </c>
      <c r="O87" s="5">
        <v>2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9</v>
      </c>
      <c r="V87" s="4" t="s">
        <v>42</v>
      </c>
      <c r="W87" s="4" t="s">
        <v>39</v>
      </c>
      <c r="X87" s="4" t="s">
        <v>37</v>
      </c>
      <c r="Y87" s="5">
        <v>2</v>
      </c>
    </row>
    <row r="88" spans="1:25" ht="15" thickBot="1" x14ac:dyDescent="0.35">
      <c r="A88" s="3">
        <v>10530</v>
      </c>
      <c r="B88" s="4" t="s">
        <v>41</v>
      </c>
      <c r="C88" s="4" t="s">
        <v>35</v>
      </c>
      <c r="D88" s="5">
        <v>25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11</v>
      </c>
      <c r="N88" s="5">
        <v>10</v>
      </c>
      <c r="O88" s="5">
        <v>1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11</v>
      </c>
      <c r="V88" s="4" t="s">
        <v>42</v>
      </c>
      <c r="W88" s="4" t="s">
        <v>36</v>
      </c>
      <c r="X88" s="4" t="s">
        <v>77</v>
      </c>
      <c r="Y88" s="5">
        <v>1</v>
      </c>
    </row>
    <row r="89" spans="1:25" ht="15" thickBot="1" x14ac:dyDescent="0.35">
      <c r="A89" s="3">
        <v>10531</v>
      </c>
      <c r="B89" s="4" t="s">
        <v>41</v>
      </c>
      <c r="C89" s="4" t="s">
        <v>29</v>
      </c>
      <c r="D89" s="5">
        <v>31</v>
      </c>
      <c r="E89" s="5">
        <v>60</v>
      </c>
      <c r="F89" s="5">
        <v>18</v>
      </c>
      <c r="G89" s="5">
        <v>42</v>
      </c>
      <c r="H89" s="5">
        <v>0</v>
      </c>
      <c r="I89" s="5">
        <v>194</v>
      </c>
      <c r="J89" s="5">
        <v>19</v>
      </c>
      <c r="K89" s="5">
        <v>174</v>
      </c>
      <c r="L89" s="5">
        <v>1</v>
      </c>
      <c r="M89" s="5">
        <v>42</v>
      </c>
      <c r="N89" s="5">
        <v>11</v>
      </c>
      <c r="O89" s="5">
        <v>28</v>
      </c>
      <c r="P89" s="5">
        <v>3</v>
      </c>
      <c r="Q89" s="5">
        <v>0</v>
      </c>
      <c r="R89" s="5">
        <v>0</v>
      </c>
      <c r="S89" s="5">
        <v>0</v>
      </c>
      <c r="T89" s="5">
        <v>0</v>
      </c>
      <c r="U89" s="5">
        <v>296</v>
      </c>
      <c r="V89" s="4" t="s">
        <v>42</v>
      </c>
      <c r="W89" s="4" t="s">
        <v>55</v>
      </c>
      <c r="X89" s="4" t="s">
        <v>61</v>
      </c>
      <c r="Y89" s="5">
        <v>4</v>
      </c>
    </row>
    <row r="90" spans="1:25" ht="15" thickBot="1" x14ac:dyDescent="0.35">
      <c r="A90" s="3">
        <v>12627</v>
      </c>
      <c r="B90" s="4" t="s">
        <v>41</v>
      </c>
      <c r="C90" s="4" t="s">
        <v>46</v>
      </c>
      <c r="D90" s="5">
        <v>13</v>
      </c>
      <c r="E90" s="5">
        <v>0</v>
      </c>
      <c r="F90" s="5">
        <v>0</v>
      </c>
      <c r="G90" s="5">
        <v>0</v>
      </c>
      <c r="H90" s="5">
        <v>0</v>
      </c>
      <c r="I90" s="5">
        <v>32</v>
      </c>
      <c r="J90" s="5">
        <v>16</v>
      </c>
      <c r="K90" s="5">
        <v>16</v>
      </c>
      <c r="L90" s="5">
        <v>0</v>
      </c>
      <c r="M90" s="5">
        <v>98</v>
      </c>
      <c r="N90" s="5">
        <v>58</v>
      </c>
      <c r="O90" s="5">
        <v>40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130</v>
      </c>
      <c r="V90" s="4" t="s">
        <v>42</v>
      </c>
      <c r="W90" s="4" t="s">
        <v>68</v>
      </c>
      <c r="X90" s="4" t="s">
        <v>69</v>
      </c>
      <c r="Y90" s="5">
        <v>2</v>
      </c>
    </row>
    <row r="91" spans="1:25" ht="15" thickBot="1" x14ac:dyDescent="0.35">
      <c r="A91" s="3">
        <v>12628</v>
      </c>
      <c r="B91" s="4" t="s">
        <v>41</v>
      </c>
      <c r="C91" s="4" t="s">
        <v>38</v>
      </c>
      <c r="D91" s="5">
        <v>22</v>
      </c>
      <c r="E91" s="5">
        <v>5</v>
      </c>
      <c r="F91" s="5">
        <v>2</v>
      </c>
      <c r="G91" s="5">
        <v>3</v>
      </c>
      <c r="H91" s="5">
        <v>0</v>
      </c>
      <c r="I91" s="5">
        <v>3</v>
      </c>
      <c r="J91" s="5">
        <v>1</v>
      </c>
      <c r="K91" s="5">
        <v>2</v>
      </c>
      <c r="L91" s="5">
        <v>0</v>
      </c>
      <c r="M91" s="5">
        <v>15</v>
      </c>
      <c r="N91" s="5">
        <v>10</v>
      </c>
      <c r="O91" s="5">
        <v>5</v>
      </c>
      <c r="P91" s="5">
        <v>0</v>
      </c>
      <c r="Q91" s="5">
        <v>5</v>
      </c>
      <c r="R91" s="5">
        <v>3</v>
      </c>
      <c r="S91" s="5">
        <v>2</v>
      </c>
      <c r="T91" s="5">
        <v>0</v>
      </c>
      <c r="U91" s="5">
        <v>28</v>
      </c>
      <c r="V91" s="4" t="s">
        <v>42</v>
      </c>
      <c r="W91" s="4" t="s">
        <v>39</v>
      </c>
      <c r="X91" s="4" t="s">
        <v>57</v>
      </c>
      <c r="Y91" s="5">
        <v>3</v>
      </c>
    </row>
    <row r="92" spans="1:25" ht="15" thickBot="1" x14ac:dyDescent="0.35">
      <c r="A92" s="3">
        <v>12629</v>
      </c>
      <c r="B92" s="4" t="s">
        <v>41</v>
      </c>
      <c r="C92" s="4" t="s">
        <v>29</v>
      </c>
      <c r="D92" s="5">
        <v>31</v>
      </c>
      <c r="E92" s="5">
        <v>31</v>
      </c>
      <c r="F92" s="5">
        <v>4</v>
      </c>
      <c r="G92" s="5">
        <v>27</v>
      </c>
      <c r="H92" s="5">
        <v>0</v>
      </c>
      <c r="I92" s="5">
        <v>238</v>
      </c>
      <c r="J92" s="5">
        <v>5</v>
      </c>
      <c r="K92" s="5">
        <v>233</v>
      </c>
      <c r="L92" s="5">
        <v>0</v>
      </c>
      <c r="M92" s="5">
        <v>57</v>
      </c>
      <c r="N92" s="5">
        <v>23</v>
      </c>
      <c r="O92" s="5">
        <v>34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326</v>
      </c>
      <c r="V92" s="4" t="s">
        <v>42</v>
      </c>
      <c r="W92" s="4" t="s">
        <v>30</v>
      </c>
      <c r="X92" s="4" t="s">
        <v>31</v>
      </c>
      <c r="Y92" s="5">
        <v>4</v>
      </c>
    </row>
    <row r="93" spans="1:25" ht="15" thickBot="1" x14ac:dyDescent="0.35">
      <c r="A93" s="3">
        <v>14721</v>
      </c>
      <c r="B93" s="4" t="s">
        <v>41</v>
      </c>
      <c r="C93" s="4" t="s">
        <v>46</v>
      </c>
      <c r="D93" s="5">
        <v>13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27</v>
      </c>
      <c r="N93" s="5">
        <v>11</v>
      </c>
      <c r="O93" s="5">
        <v>15</v>
      </c>
      <c r="P93" s="5">
        <v>1</v>
      </c>
      <c r="Q93" s="5">
        <v>0</v>
      </c>
      <c r="R93" s="5">
        <v>0</v>
      </c>
      <c r="S93" s="5">
        <v>0</v>
      </c>
      <c r="T93" s="5">
        <v>0</v>
      </c>
      <c r="U93" s="5">
        <v>27</v>
      </c>
      <c r="V93" s="4" t="s">
        <v>42</v>
      </c>
      <c r="W93" s="4" t="s">
        <v>68</v>
      </c>
      <c r="X93" s="4" t="s">
        <v>69</v>
      </c>
      <c r="Y93" s="5">
        <v>2</v>
      </c>
    </row>
    <row r="94" spans="1:25" ht="15" thickBot="1" x14ac:dyDescent="0.35">
      <c r="A94" s="3">
        <v>14722</v>
      </c>
      <c r="B94" s="4" t="s">
        <v>41</v>
      </c>
      <c r="C94" s="4" t="s">
        <v>74</v>
      </c>
      <c r="D94" s="5">
        <v>19</v>
      </c>
      <c r="E94" s="5">
        <v>3</v>
      </c>
      <c r="F94" s="5">
        <v>1</v>
      </c>
      <c r="G94" s="5">
        <v>2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23</v>
      </c>
      <c r="N94" s="5">
        <v>23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26</v>
      </c>
      <c r="V94" s="4" t="s">
        <v>42</v>
      </c>
      <c r="W94" s="4" t="s">
        <v>74</v>
      </c>
      <c r="X94" s="4" t="s">
        <v>37</v>
      </c>
      <c r="Y94" s="5">
        <v>1</v>
      </c>
    </row>
    <row r="95" spans="1:25" ht="15" thickBot="1" x14ac:dyDescent="0.35">
      <c r="A95" s="3">
        <v>14723</v>
      </c>
      <c r="B95" s="4" t="s">
        <v>41</v>
      </c>
      <c r="C95" s="4" t="s">
        <v>38</v>
      </c>
      <c r="D95" s="5">
        <v>22</v>
      </c>
      <c r="E95" s="5">
        <v>0</v>
      </c>
      <c r="F95" s="5">
        <v>0</v>
      </c>
      <c r="G95" s="5">
        <v>0</v>
      </c>
      <c r="H95" s="5">
        <v>0</v>
      </c>
      <c r="I95" s="5">
        <v>1</v>
      </c>
      <c r="J95" s="5">
        <v>1</v>
      </c>
      <c r="K95" s="5">
        <v>0</v>
      </c>
      <c r="L95" s="5">
        <v>0</v>
      </c>
      <c r="M95" s="5">
        <v>3</v>
      </c>
      <c r="N95" s="5">
        <v>3</v>
      </c>
      <c r="O95" s="5">
        <v>0</v>
      </c>
      <c r="P95" s="5">
        <v>0</v>
      </c>
      <c r="Q95" s="5">
        <v>2</v>
      </c>
      <c r="R95" s="5">
        <v>1</v>
      </c>
      <c r="S95" s="5">
        <v>1</v>
      </c>
      <c r="T95" s="5">
        <v>0</v>
      </c>
      <c r="U95" s="5">
        <v>6</v>
      </c>
      <c r="V95" s="4" t="s">
        <v>42</v>
      </c>
      <c r="W95" s="4" t="s">
        <v>39</v>
      </c>
      <c r="X95" s="4" t="s">
        <v>57</v>
      </c>
      <c r="Y95" s="5">
        <v>2</v>
      </c>
    </row>
    <row r="96" spans="1:25" ht="15" thickBot="1" x14ac:dyDescent="0.35">
      <c r="A96" s="3">
        <v>14724</v>
      </c>
      <c r="B96" s="4" t="s">
        <v>41</v>
      </c>
      <c r="C96" s="4" t="s">
        <v>29</v>
      </c>
      <c r="D96" s="5">
        <v>31</v>
      </c>
      <c r="E96" s="5">
        <v>14</v>
      </c>
      <c r="F96" s="5">
        <v>0</v>
      </c>
      <c r="G96" s="5">
        <v>14</v>
      </c>
      <c r="H96" s="5">
        <v>0</v>
      </c>
      <c r="I96" s="5">
        <v>175</v>
      </c>
      <c r="J96" s="5">
        <v>12</v>
      </c>
      <c r="K96" s="5">
        <v>163</v>
      </c>
      <c r="L96" s="5">
        <v>0</v>
      </c>
      <c r="M96" s="5">
        <v>39</v>
      </c>
      <c r="N96" s="5">
        <v>3</v>
      </c>
      <c r="O96" s="5">
        <v>36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228</v>
      </c>
      <c r="V96" s="4" t="s">
        <v>42</v>
      </c>
      <c r="W96" s="4" t="s">
        <v>30</v>
      </c>
      <c r="X96" s="4" t="s">
        <v>31</v>
      </c>
      <c r="Y96" s="5">
        <v>4</v>
      </c>
    </row>
    <row r="97" spans="1:25" ht="15" thickBot="1" x14ac:dyDescent="0.35">
      <c r="A97" s="3">
        <v>1339</v>
      </c>
      <c r="B97" s="4" t="s">
        <v>88</v>
      </c>
      <c r="C97" s="4" t="s">
        <v>25</v>
      </c>
      <c r="D97" s="5">
        <v>34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4" t="s">
        <v>52</v>
      </c>
      <c r="W97" s="4" t="s">
        <v>27</v>
      </c>
      <c r="X97" s="6" t="s">
        <v>28</v>
      </c>
      <c r="Y97" s="5">
        <v>1</v>
      </c>
    </row>
    <row r="98" spans="1:25" ht="15" thickBot="1" x14ac:dyDescent="0.35">
      <c r="A98" s="3">
        <v>1340</v>
      </c>
      <c r="B98" s="4" t="s">
        <v>88</v>
      </c>
      <c r="C98" s="4" t="s">
        <v>29</v>
      </c>
      <c r="D98" s="5">
        <v>31</v>
      </c>
      <c r="E98" s="5">
        <v>5</v>
      </c>
      <c r="F98" s="5">
        <v>0</v>
      </c>
      <c r="G98" s="5">
        <v>5</v>
      </c>
      <c r="H98" s="5">
        <v>0</v>
      </c>
      <c r="I98" s="5">
        <v>46</v>
      </c>
      <c r="J98" s="5">
        <v>25</v>
      </c>
      <c r="K98" s="5">
        <v>18</v>
      </c>
      <c r="L98" s="5">
        <v>3</v>
      </c>
      <c r="M98" s="5">
        <v>40</v>
      </c>
      <c r="N98" s="5">
        <v>16</v>
      </c>
      <c r="O98" s="5">
        <v>21</v>
      </c>
      <c r="P98" s="5">
        <v>3</v>
      </c>
      <c r="Q98" s="5">
        <v>0</v>
      </c>
      <c r="R98" s="5">
        <v>0</v>
      </c>
      <c r="S98" s="5">
        <v>0</v>
      </c>
      <c r="T98" s="5">
        <v>0</v>
      </c>
      <c r="U98" s="5">
        <v>91</v>
      </c>
      <c r="V98" s="4" t="s">
        <v>52</v>
      </c>
      <c r="W98" s="4" t="s">
        <v>55</v>
      </c>
      <c r="X98" s="4" t="s">
        <v>84</v>
      </c>
      <c r="Y98" s="5">
        <v>2</v>
      </c>
    </row>
    <row r="99" spans="1:25" ht="15" thickBot="1" x14ac:dyDescent="0.35">
      <c r="A99" s="3">
        <v>3052</v>
      </c>
      <c r="B99" s="4" t="s">
        <v>88</v>
      </c>
      <c r="C99" s="4" t="s">
        <v>44</v>
      </c>
      <c r="D99" s="5">
        <v>16</v>
      </c>
      <c r="E99" s="5">
        <v>15</v>
      </c>
      <c r="F99" s="5">
        <v>10</v>
      </c>
      <c r="G99" s="5">
        <v>5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15</v>
      </c>
      <c r="V99" s="4" t="s">
        <v>52</v>
      </c>
      <c r="W99" s="4" t="s">
        <v>45</v>
      </c>
      <c r="X99" s="4" t="s">
        <v>89</v>
      </c>
      <c r="Y99" s="5">
        <v>1</v>
      </c>
    </row>
    <row r="100" spans="1:25" ht="15" thickBot="1" x14ac:dyDescent="0.35">
      <c r="A100" s="3">
        <v>3053</v>
      </c>
      <c r="B100" s="4" t="s">
        <v>88</v>
      </c>
      <c r="C100" s="4" t="s">
        <v>74</v>
      </c>
      <c r="D100" s="5">
        <v>19</v>
      </c>
      <c r="E100" s="5">
        <v>5</v>
      </c>
      <c r="F100" s="5">
        <v>0</v>
      </c>
      <c r="G100" s="5">
        <v>5</v>
      </c>
      <c r="H100" s="5">
        <v>0</v>
      </c>
      <c r="I100" s="5">
        <v>50</v>
      </c>
      <c r="J100" s="5">
        <v>20</v>
      </c>
      <c r="K100" s="5">
        <v>30</v>
      </c>
      <c r="L100" s="5">
        <v>0</v>
      </c>
      <c r="M100" s="5">
        <v>33</v>
      </c>
      <c r="N100" s="5">
        <v>25</v>
      </c>
      <c r="O100" s="5">
        <v>8</v>
      </c>
      <c r="P100" s="5">
        <v>0</v>
      </c>
      <c r="Q100" s="5">
        <v>23</v>
      </c>
      <c r="R100" s="5">
        <v>5</v>
      </c>
      <c r="S100" s="5">
        <v>18</v>
      </c>
      <c r="T100" s="5">
        <v>0</v>
      </c>
      <c r="U100" s="5">
        <v>111</v>
      </c>
      <c r="V100" s="4" t="s">
        <v>52</v>
      </c>
      <c r="W100" s="4" t="s">
        <v>74</v>
      </c>
      <c r="X100" s="4" t="s">
        <v>37</v>
      </c>
      <c r="Y100" s="5">
        <v>1</v>
      </c>
    </row>
    <row r="101" spans="1:25" ht="15" thickBot="1" x14ac:dyDescent="0.35">
      <c r="A101" s="3">
        <v>4808</v>
      </c>
      <c r="B101" s="4" t="s">
        <v>88</v>
      </c>
      <c r="C101" s="4" t="s">
        <v>44</v>
      </c>
      <c r="D101" s="5">
        <v>16</v>
      </c>
      <c r="E101" s="5">
        <v>35</v>
      </c>
      <c r="F101" s="5">
        <v>15</v>
      </c>
      <c r="G101" s="5">
        <v>20</v>
      </c>
      <c r="H101" s="5">
        <v>0</v>
      </c>
      <c r="I101" s="5">
        <v>35</v>
      </c>
      <c r="J101" s="5">
        <v>20</v>
      </c>
      <c r="K101" s="5">
        <v>15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70</v>
      </c>
      <c r="V101" s="4" t="s">
        <v>52</v>
      </c>
      <c r="W101" s="4" t="s">
        <v>45</v>
      </c>
      <c r="X101" s="4" t="s">
        <v>89</v>
      </c>
      <c r="Y101" s="5">
        <v>1</v>
      </c>
    </row>
    <row r="102" spans="1:25" ht="15" thickBot="1" x14ac:dyDescent="0.35">
      <c r="A102" s="3">
        <v>6774</v>
      </c>
      <c r="B102" s="4" t="s">
        <v>88</v>
      </c>
      <c r="C102" s="4" t="s">
        <v>44</v>
      </c>
      <c r="D102" s="5">
        <v>16</v>
      </c>
      <c r="E102" s="5">
        <v>19</v>
      </c>
      <c r="F102" s="5">
        <v>10</v>
      </c>
      <c r="G102" s="5">
        <v>9</v>
      </c>
      <c r="H102" s="5">
        <v>0</v>
      </c>
      <c r="I102" s="5">
        <v>7</v>
      </c>
      <c r="J102" s="5">
        <v>5</v>
      </c>
      <c r="K102" s="5">
        <v>2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26</v>
      </c>
      <c r="V102" s="4" t="s">
        <v>52</v>
      </c>
      <c r="W102" s="4" t="s">
        <v>45</v>
      </c>
      <c r="X102" s="4" t="s">
        <v>89</v>
      </c>
      <c r="Y102" s="5">
        <v>1</v>
      </c>
    </row>
    <row r="103" spans="1:25" ht="15" thickBot="1" x14ac:dyDescent="0.35">
      <c r="A103" s="3">
        <v>6775</v>
      </c>
      <c r="B103" s="4" t="s">
        <v>88</v>
      </c>
      <c r="C103" s="4" t="s">
        <v>25</v>
      </c>
      <c r="D103" s="5">
        <v>34</v>
      </c>
      <c r="E103" s="5">
        <v>0</v>
      </c>
      <c r="F103" s="5">
        <v>0</v>
      </c>
      <c r="G103" s="5">
        <v>0</v>
      </c>
      <c r="H103" s="5">
        <v>0</v>
      </c>
      <c r="I103" s="5">
        <v>45</v>
      </c>
      <c r="J103" s="5">
        <v>25</v>
      </c>
      <c r="K103" s="5">
        <v>18</v>
      </c>
      <c r="L103" s="5">
        <v>2</v>
      </c>
      <c r="M103" s="5">
        <v>33</v>
      </c>
      <c r="N103" s="5">
        <v>18</v>
      </c>
      <c r="O103" s="5">
        <v>14</v>
      </c>
      <c r="P103" s="5">
        <v>1</v>
      </c>
      <c r="Q103" s="5">
        <v>2</v>
      </c>
      <c r="R103" s="5">
        <v>2</v>
      </c>
      <c r="S103" s="5">
        <v>0</v>
      </c>
      <c r="T103" s="5">
        <v>0</v>
      </c>
      <c r="U103" s="5">
        <v>80</v>
      </c>
      <c r="V103" s="4" t="s">
        <v>52</v>
      </c>
      <c r="W103" s="4" t="s">
        <v>27</v>
      </c>
      <c r="X103" s="6" t="s">
        <v>28</v>
      </c>
      <c r="Y103" s="5">
        <v>2</v>
      </c>
    </row>
    <row r="104" spans="1:25" ht="15" thickBot="1" x14ac:dyDescent="0.35">
      <c r="A104" s="3">
        <v>8847</v>
      </c>
      <c r="B104" s="4" t="s">
        <v>88</v>
      </c>
      <c r="C104" s="4" t="s">
        <v>44</v>
      </c>
      <c r="D104" s="5">
        <v>16</v>
      </c>
      <c r="E104" s="5">
        <v>21</v>
      </c>
      <c r="F104" s="5">
        <v>10</v>
      </c>
      <c r="G104" s="5">
        <v>10</v>
      </c>
      <c r="H104" s="5">
        <v>1</v>
      </c>
      <c r="I104" s="5">
        <v>7</v>
      </c>
      <c r="J104" s="5">
        <v>5</v>
      </c>
      <c r="K104" s="5">
        <v>2</v>
      </c>
      <c r="L104" s="5">
        <v>0</v>
      </c>
      <c r="M104" s="5">
        <v>1</v>
      </c>
      <c r="N104" s="5">
        <v>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29</v>
      </c>
      <c r="V104" s="4" t="s">
        <v>52</v>
      </c>
      <c r="W104" s="4" t="s">
        <v>45</v>
      </c>
      <c r="X104" s="4" t="s">
        <v>89</v>
      </c>
      <c r="Y104" s="5">
        <v>1</v>
      </c>
    </row>
    <row r="105" spans="1:25" ht="15" thickBot="1" x14ac:dyDescent="0.35">
      <c r="A105" s="3">
        <v>8848</v>
      </c>
      <c r="B105" s="4" t="s">
        <v>88</v>
      </c>
      <c r="C105" s="4" t="s">
        <v>38</v>
      </c>
      <c r="D105" s="5">
        <v>22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10</v>
      </c>
      <c r="N105" s="5">
        <v>4</v>
      </c>
      <c r="O105" s="5">
        <v>6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10</v>
      </c>
      <c r="V105" s="4" t="s">
        <v>52</v>
      </c>
      <c r="W105" s="4" t="s">
        <v>82</v>
      </c>
      <c r="X105" s="4" t="s">
        <v>37</v>
      </c>
      <c r="Y105" s="5">
        <v>1</v>
      </c>
    </row>
    <row r="106" spans="1:25" ht="15" thickBot="1" x14ac:dyDescent="0.35">
      <c r="A106" s="3">
        <v>10976</v>
      </c>
      <c r="B106" s="4" t="s">
        <v>88</v>
      </c>
      <c r="C106" s="4" t="s">
        <v>44</v>
      </c>
      <c r="D106" s="5">
        <v>16</v>
      </c>
      <c r="E106" s="5">
        <v>15</v>
      </c>
      <c r="F106" s="5">
        <v>10</v>
      </c>
      <c r="G106" s="5">
        <v>5</v>
      </c>
      <c r="H106" s="5">
        <v>0</v>
      </c>
      <c r="I106" s="5">
        <v>7</v>
      </c>
      <c r="J106" s="5">
        <v>5</v>
      </c>
      <c r="K106" s="5">
        <v>2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22</v>
      </c>
      <c r="V106" s="4" t="s">
        <v>52</v>
      </c>
      <c r="W106" s="4" t="s">
        <v>45</v>
      </c>
      <c r="X106" s="4" t="s">
        <v>89</v>
      </c>
      <c r="Y106" s="5">
        <v>1</v>
      </c>
    </row>
    <row r="107" spans="1:25" ht="15" thickBot="1" x14ac:dyDescent="0.35">
      <c r="A107" s="3">
        <v>13057</v>
      </c>
      <c r="B107" s="4" t="s">
        <v>88</v>
      </c>
      <c r="C107" s="4" t="s">
        <v>44</v>
      </c>
      <c r="D107" s="5">
        <v>16</v>
      </c>
      <c r="E107" s="5">
        <v>15</v>
      </c>
      <c r="F107" s="5">
        <v>10</v>
      </c>
      <c r="G107" s="5">
        <v>5</v>
      </c>
      <c r="H107" s="5">
        <v>0</v>
      </c>
      <c r="I107" s="5">
        <v>12</v>
      </c>
      <c r="J107" s="5">
        <v>7</v>
      </c>
      <c r="K107" s="5">
        <v>5</v>
      </c>
      <c r="L107" s="5">
        <v>0</v>
      </c>
      <c r="M107" s="5">
        <v>15</v>
      </c>
      <c r="N107" s="5">
        <v>5</v>
      </c>
      <c r="O107" s="5">
        <v>10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42</v>
      </c>
      <c r="V107" s="4" t="s">
        <v>52</v>
      </c>
      <c r="W107" s="4" t="s">
        <v>45</v>
      </c>
      <c r="X107" s="4" t="s">
        <v>89</v>
      </c>
      <c r="Y107" s="5">
        <v>2</v>
      </c>
    </row>
    <row r="108" spans="1:25" ht="15" thickBot="1" x14ac:dyDescent="0.35">
      <c r="A108" s="3">
        <v>13058</v>
      </c>
      <c r="B108" s="4" t="s">
        <v>88</v>
      </c>
      <c r="C108" s="4" t="s">
        <v>29</v>
      </c>
      <c r="D108" s="5">
        <v>31</v>
      </c>
      <c r="E108" s="5">
        <v>27</v>
      </c>
      <c r="F108" s="5">
        <v>15</v>
      </c>
      <c r="G108" s="5">
        <v>10</v>
      </c>
      <c r="H108" s="5">
        <v>2</v>
      </c>
      <c r="I108" s="5">
        <v>9</v>
      </c>
      <c r="J108" s="5">
        <v>5</v>
      </c>
      <c r="K108" s="5">
        <v>4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36</v>
      </c>
      <c r="V108" s="4" t="s">
        <v>52</v>
      </c>
      <c r="W108" s="4" t="s">
        <v>55</v>
      </c>
      <c r="X108" s="4" t="s">
        <v>61</v>
      </c>
      <c r="Y108" s="5">
        <v>1</v>
      </c>
    </row>
    <row r="109" spans="1:25" ht="15" thickBot="1" x14ac:dyDescent="0.35">
      <c r="A109" s="3">
        <v>320</v>
      </c>
      <c r="B109" s="4" t="s">
        <v>49</v>
      </c>
      <c r="C109" s="4" t="s">
        <v>44</v>
      </c>
      <c r="D109" s="5">
        <v>16</v>
      </c>
      <c r="E109" s="5">
        <v>1624</v>
      </c>
      <c r="F109" s="5">
        <v>969</v>
      </c>
      <c r="G109" s="5">
        <v>655</v>
      </c>
      <c r="H109" s="5">
        <v>0</v>
      </c>
      <c r="I109" s="5">
        <v>260</v>
      </c>
      <c r="J109" s="5">
        <v>133</v>
      </c>
      <c r="K109" s="5">
        <v>127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1884</v>
      </c>
      <c r="V109" s="4" t="s">
        <v>50</v>
      </c>
      <c r="W109" s="4" t="s">
        <v>45</v>
      </c>
      <c r="X109" s="4" t="s">
        <v>37</v>
      </c>
      <c r="Y109" s="5">
        <v>2</v>
      </c>
    </row>
    <row r="110" spans="1:25" ht="15" thickBot="1" x14ac:dyDescent="0.35">
      <c r="A110" s="3">
        <v>321</v>
      </c>
      <c r="B110" s="4" t="s">
        <v>49</v>
      </c>
      <c r="C110" s="4" t="s">
        <v>38</v>
      </c>
      <c r="D110" s="5">
        <v>22</v>
      </c>
      <c r="E110" s="5">
        <v>0</v>
      </c>
      <c r="F110" s="5">
        <v>0</v>
      </c>
      <c r="G110" s="5">
        <v>0</v>
      </c>
      <c r="H110" s="5">
        <v>0</v>
      </c>
      <c r="I110" s="5">
        <v>457</v>
      </c>
      <c r="J110" s="5">
        <v>260</v>
      </c>
      <c r="K110" s="5">
        <v>197</v>
      </c>
      <c r="L110" s="5">
        <v>0</v>
      </c>
      <c r="M110" s="5">
        <v>3630</v>
      </c>
      <c r="N110" s="5">
        <v>2189</v>
      </c>
      <c r="O110" s="5">
        <v>1437</v>
      </c>
      <c r="P110" s="5">
        <v>4</v>
      </c>
      <c r="Q110" s="5">
        <v>564</v>
      </c>
      <c r="R110" s="5">
        <v>166</v>
      </c>
      <c r="S110" s="5">
        <v>398</v>
      </c>
      <c r="T110" s="5">
        <v>0</v>
      </c>
      <c r="U110" s="5">
        <v>4651</v>
      </c>
      <c r="V110" s="4" t="s">
        <v>50</v>
      </c>
      <c r="W110" s="4" t="s">
        <v>39</v>
      </c>
      <c r="X110" s="4" t="s">
        <v>37</v>
      </c>
      <c r="Y110" s="5">
        <v>3</v>
      </c>
    </row>
    <row r="111" spans="1:25" ht="15" thickBot="1" x14ac:dyDescent="0.35">
      <c r="A111" s="3">
        <v>1541</v>
      </c>
      <c r="B111" s="4" t="s">
        <v>49</v>
      </c>
      <c r="C111" s="4" t="s">
        <v>35</v>
      </c>
      <c r="D111" s="5">
        <v>25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3</v>
      </c>
      <c r="N111" s="5">
        <v>1</v>
      </c>
      <c r="O111" s="5">
        <v>2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3</v>
      </c>
      <c r="V111" s="4" t="s">
        <v>50</v>
      </c>
      <c r="W111" s="4" t="s">
        <v>36</v>
      </c>
      <c r="X111" s="4" t="s">
        <v>37</v>
      </c>
      <c r="Y111" s="5">
        <v>1</v>
      </c>
    </row>
    <row r="112" spans="1:25" ht="15" thickBot="1" x14ac:dyDescent="0.35">
      <c r="A112" s="3">
        <v>1542</v>
      </c>
      <c r="B112" s="4" t="s">
        <v>49</v>
      </c>
      <c r="C112" s="4" t="s">
        <v>25</v>
      </c>
      <c r="D112" s="5">
        <v>34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4</v>
      </c>
      <c r="N112" s="5">
        <v>2</v>
      </c>
      <c r="O112" s="5">
        <v>2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4</v>
      </c>
      <c r="V112" s="4" t="s">
        <v>50</v>
      </c>
      <c r="W112" s="4" t="s">
        <v>64</v>
      </c>
      <c r="X112" s="6" t="s">
        <v>28</v>
      </c>
      <c r="Y112" s="5">
        <v>2</v>
      </c>
    </row>
    <row r="113" spans="1:25" ht="15" thickBot="1" x14ac:dyDescent="0.35">
      <c r="A113" s="3">
        <v>1543</v>
      </c>
      <c r="B113" s="4" t="s">
        <v>49</v>
      </c>
      <c r="C113" s="4" t="s">
        <v>44</v>
      </c>
      <c r="D113" s="5">
        <v>16</v>
      </c>
      <c r="E113" s="5">
        <v>1318</v>
      </c>
      <c r="F113" s="5">
        <v>775</v>
      </c>
      <c r="G113" s="5">
        <v>543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1318</v>
      </c>
      <c r="V113" s="4" t="s">
        <v>50</v>
      </c>
      <c r="W113" s="4" t="s">
        <v>45</v>
      </c>
      <c r="X113" s="4" t="s">
        <v>37</v>
      </c>
      <c r="Y113" s="5">
        <v>2</v>
      </c>
    </row>
    <row r="114" spans="1:25" ht="15" thickBot="1" x14ac:dyDescent="0.35">
      <c r="A114" s="3">
        <v>1544</v>
      </c>
      <c r="B114" s="4" t="s">
        <v>49</v>
      </c>
      <c r="C114" s="4" t="s">
        <v>38</v>
      </c>
      <c r="D114" s="5">
        <v>22</v>
      </c>
      <c r="E114" s="5">
        <v>0</v>
      </c>
      <c r="F114" s="5">
        <v>0</v>
      </c>
      <c r="G114" s="5">
        <v>0</v>
      </c>
      <c r="H114" s="5">
        <v>0</v>
      </c>
      <c r="I114" s="5">
        <v>69</v>
      </c>
      <c r="J114" s="5">
        <v>48</v>
      </c>
      <c r="K114" s="5">
        <v>21</v>
      </c>
      <c r="L114" s="5">
        <v>0</v>
      </c>
      <c r="M114" s="5">
        <v>2588</v>
      </c>
      <c r="N114" s="5">
        <v>1142</v>
      </c>
      <c r="O114" s="5">
        <v>1446</v>
      </c>
      <c r="P114" s="5">
        <v>0</v>
      </c>
      <c r="Q114" s="5">
        <v>64</v>
      </c>
      <c r="R114" s="5">
        <v>37</v>
      </c>
      <c r="S114" s="5">
        <v>27</v>
      </c>
      <c r="T114" s="5">
        <v>0</v>
      </c>
      <c r="U114" s="5">
        <v>2721</v>
      </c>
      <c r="V114" s="4" t="s">
        <v>50</v>
      </c>
      <c r="W114" s="4" t="s">
        <v>39</v>
      </c>
      <c r="X114" s="4" t="s">
        <v>37</v>
      </c>
      <c r="Y114" s="5">
        <v>3</v>
      </c>
    </row>
    <row r="115" spans="1:25" ht="15" thickBot="1" x14ac:dyDescent="0.35">
      <c r="A115" s="3">
        <v>3267</v>
      </c>
      <c r="B115" s="4" t="s">
        <v>49</v>
      </c>
      <c r="C115" s="4" t="s">
        <v>35</v>
      </c>
      <c r="D115" s="5">
        <v>25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3</v>
      </c>
      <c r="N115" s="5">
        <v>1</v>
      </c>
      <c r="O115" s="5">
        <v>2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3</v>
      </c>
      <c r="V115" s="4" t="s">
        <v>50</v>
      </c>
      <c r="W115" s="4" t="s">
        <v>36</v>
      </c>
      <c r="X115" s="4" t="s">
        <v>37</v>
      </c>
      <c r="Y115" s="5">
        <v>1</v>
      </c>
    </row>
    <row r="116" spans="1:25" ht="15" thickBot="1" x14ac:dyDescent="0.35">
      <c r="A116" s="3">
        <v>3268</v>
      </c>
      <c r="B116" s="4" t="s">
        <v>49</v>
      </c>
      <c r="C116" s="4" t="s">
        <v>44</v>
      </c>
      <c r="D116" s="5">
        <v>16</v>
      </c>
      <c r="E116" s="5">
        <v>854</v>
      </c>
      <c r="F116" s="5">
        <v>387</v>
      </c>
      <c r="G116" s="5">
        <v>467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854</v>
      </c>
      <c r="V116" s="4" t="s">
        <v>50</v>
      </c>
      <c r="W116" s="4" t="s">
        <v>45</v>
      </c>
      <c r="X116" s="4" t="s">
        <v>37</v>
      </c>
      <c r="Y116" s="5">
        <v>2</v>
      </c>
    </row>
    <row r="117" spans="1:25" ht="15" thickBot="1" x14ac:dyDescent="0.35">
      <c r="A117" s="3">
        <v>3269</v>
      </c>
      <c r="B117" s="4" t="s">
        <v>49</v>
      </c>
      <c r="C117" s="4" t="s">
        <v>38</v>
      </c>
      <c r="D117" s="5">
        <v>22</v>
      </c>
      <c r="E117" s="5">
        <v>921</v>
      </c>
      <c r="F117" s="5">
        <v>574</v>
      </c>
      <c r="G117" s="5">
        <v>347</v>
      </c>
      <c r="H117" s="5">
        <v>0</v>
      </c>
      <c r="I117" s="5">
        <v>2748</v>
      </c>
      <c r="J117" s="5">
        <v>1468</v>
      </c>
      <c r="K117" s="5">
        <v>1280</v>
      </c>
      <c r="L117" s="5">
        <v>0</v>
      </c>
      <c r="M117" s="5">
        <v>2743</v>
      </c>
      <c r="N117" s="5">
        <v>1680</v>
      </c>
      <c r="O117" s="5">
        <v>1063</v>
      </c>
      <c r="P117" s="5">
        <v>0</v>
      </c>
      <c r="Q117" s="5">
        <v>2378</v>
      </c>
      <c r="R117" s="5">
        <v>1447</v>
      </c>
      <c r="S117" s="5">
        <v>931</v>
      </c>
      <c r="T117" s="5">
        <v>0</v>
      </c>
      <c r="U117" s="5">
        <v>8790</v>
      </c>
      <c r="V117" s="4" t="s">
        <v>50</v>
      </c>
      <c r="W117" s="4" t="s">
        <v>39</v>
      </c>
      <c r="X117" s="4" t="s">
        <v>90</v>
      </c>
      <c r="Y117" s="5">
        <v>5</v>
      </c>
    </row>
    <row r="118" spans="1:25" ht="15" thickBot="1" x14ac:dyDescent="0.35">
      <c r="A118" s="3">
        <v>5056</v>
      </c>
      <c r="B118" s="4" t="s">
        <v>49</v>
      </c>
      <c r="C118" s="4" t="s">
        <v>74</v>
      </c>
      <c r="D118" s="5">
        <v>19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6</v>
      </c>
      <c r="N118" s="5">
        <v>5</v>
      </c>
      <c r="O118" s="5">
        <v>1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6</v>
      </c>
      <c r="V118" s="4" t="s">
        <v>50</v>
      </c>
      <c r="W118" s="4" t="s">
        <v>74</v>
      </c>
      <c r="X118" s="4" t="s">
        <v>37</v>
      </c>
      <c r="Y118" s="5">
        <v>1</v>
      </c>
    </row>
    <row r="119" spans="1:25" ht="15" thickBot="1" x14ac:dyDescent="0.35">
      <c r="A119" s="3">
        <v>5057</v>
      </c>
      <c r="B119" s="4" t="s">
        <v>49</v>
      </c>
      <c r="C119" s="4" t="s">
        <v>46</v>
      </c>
      <c r="D119" s="5">
        <v>13</v>
      </c>
      <c r="E119" s="5">
        <v>0</v>
      </c>
      <c r="F119" s="5">
        <v>0</v>
      </c>
      <c r="G119" s="5">
        <v>0</v>
      </c>
      <c r="H119" s="5">
        <v>0</v>
      </c>
      <c r="I119" s="5">
        <v>5</v>
      </c>
      <c r="J119" s="5">
        <v>2</v>
      </c>
      <c r="K119" s="5">
        <v>3</v>
      </c>
      <c r="L119" s="5">
        <v>0</v>
      </c>
      <c r="M119" s="5">
        <v>12</v>
      </c>
      <c r="N119" s="5">
        <v>9</v>
      </c>
      <c r="O119" s="5">
        <v>3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17</v>
      </c>
      <c r="V119" s="4" t="s">
        <v>50</v>
      </c>
      <c r="W119" s="4" t="s">
        <v>68</v>
      </c>
      <c r="X119" s="4" t="s">
        <v>91</v>
      </c>
      <c r="Y119" s="5">
        <v>1</v>
      </c>
    </row>
    <row r="120" spans="1:25" ht="15" thickBot="1" x14ac:dyDescent="0.35">
      <c r="A120" s="3">
        <v>5058</v>
      </c>
      <c r="B120" s="4" t="s">
        <v>49</v>
      </c>
      <c r="C120" s="4" t="s">
        <v>44</v>
      </c>
      <c r="D120" s="5">
        <v>16</v>
      </c>
      <c r="E120" s="5">
        <v>157</v>
      </c>
      <c r="F120" s="5">
        <v>95</v>
      </c>
      <c r="G120" s="5">
        <v>62</v>
      </c>
      <c r="H120" s="5">
        <v>0</v>
      </c>
      <c r="I120" s="5">
        <v>25</v>
      </c>
      <c r="J120" s="5">
        <v>9</v>
      </c>
      <c r="K120" s="5">
        <v>16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182</v>
      </c>
      <c r="V120" s="4" t="s">
        <v>50</v>
      </c>
      <c r="W120" s="4" t="s">
        <v>45</v>
      </c>
      <c r="X120" s="4" t="s">
        <v>89</v>
      </c>
      <c r="Y120" s="5">
        <v>1</v>
      </c>
    </row>
    <row r="121" spans="1:25" ht="15" thickBot="1" x14ac:dyDescent="0.35">
      <c r="A121" s="3">
        <v>5059</v>
      </c>
      <c r="B121" s="4" t="s">
        <v>49</v>
      </c>
      <c r="C121" s="4" t="s">
        <v>38</v>
      </c>
      <c r="D121" s="5">
        <v>22</v>
      </c>
      <c r="E121" s="5">
        <v>680</v>
      </c>
      <c r="F121" s="5">
        <v>408</v>
      </c>
      <c r="G121" s="5">
        <v>272</v>
      </c>
      <c r="H121" s="5">
        <v>0</v>
      </c>
      <c r="I121" s="5">
        <v>3288</v>
      </c>
      <c r="J121" s="5">
        <v>1673</v>
      </c>
      <c r="K121" s="5">
        <v>1615</v>
      </c>
      <c r="L121" s="5">
        <v>0</v>
      </c>
      <c r="M121" s="5">
        <v>3216</v>
      </c>
      <c r="N121" s="5">
        <v>2081</v>
      </c>
      <c r="O121" s="5">
        <v>1135</v>
      </c>
      <c r="P121" s="5">
        <v>0</v>
      </c>
      <c r="Q121" s="5">
        <v>1677</v>
      </c>
      <c r="R121" s="5">
        <v>694</v>
      </c>
      <c r="S121" s="5">
        <v>983</v>
      </c>
      <c r="T121" s="5">
        <v>0</v>
      </c>
      <c r="U121" s="5">
        <v>8861</v>
      </c>
      <c r="V121" s="4" t="s">
        <v>50</v>
      </c>
      <c r="W121" s="4" t="s">
        <v>39</v>
      </c>
      <c r="X121" s="4" t="s">
        <v>37</v>
      </c>
      <c r="Y121" s="5">
        <v>4</v>
      </c>
    </row>
    <row r="122" spans="1:25" ht="15" thickBot="1" x14ac:dyDescent="0.35">
      <c r="A122" s="3">
        <v>7044</v>
      </c>
      <c r="B122" s="4" t="s">
        <v>49</v>
      </c>
      <c r="C122" s="4" t="s">
        <v>35</v>
      </c>
      <c r="D122" s="5">
        <v>25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5</v>
      </c>
      <c r="N122" s="5">
        <v>2</v>
      </c>
      <c r="O122" s="5">
        <v>3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5</v>
      </c>
      <c r="V122" s="4" t="s">
        <v>50</v>
      </c>
      <c r="W122" s="4" t="s">
        <v>36</v>
      </c>
      <c r="X122" s="4" t="s">
        <v>37</v>
      </c>
      <c r="Y122" s="5">
        <v>2</v>
      </c>
    </row>
    <row r="123" spans="1:25" ht="15" thickBot="1" x14ac:dyDescent="0.35">
      <c r="A123" s="3">
        <v>7045</v>
      </c>
      <c r="B123" s="4" t="s">
        <v>49</v>
      </c>
      <c r="C123" s="4" t="s">
        <v>25</v>
      </c>
      <c r="D123" s="5">
        <v>34</v>
      </c>
      <c r="E123" s="5">
        <v>0</v>
      </c>
      <c r="F123" s="5">
        <v>0</v>
      </c>
      <c r="G123" s="5">
        <v>0</v>
      </c>
      <c r="H123" s="5">
        <v>0</v>
      </c>
      <c r="I123" s="5">
        <v>7</v>
      </c>
      <c r="J123" s="5">
        <v>2</v>
      </c>
      <c r="K123" s="5">
        <v>5</v>
      </c>
      <c r="L123" s="5">
        <v>0</v>
      </c>
      <c r="M123" s="5">
        <v>1</v>
      </c>
      <c r="N123" s="5">
        <v>1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8</v>
      </c>
      <c r="V123" s="4" t="s">
        <v>50</v>
      </c>
      <c r="W123" s="4" t="s">
        <v>92</v>
      </c>
      <c r="X123" s="6" t="s">
        <v>28</v>
      </c>
      <c r="Y123" s="5">
        <v>1</v>
      </c>
    </row>
    <row r="124" spans="1:25" ht="15" thickBot="1" x14ac:dyDescent="0.35">
      <c r="A124" s="3">
        <v>7046</v>
      </c>
      <c r="B124" s="4" t="s">
        <v>49</v>
      </c>
      <c r="C124" s="4" t="s">
        <v>44</v>
      </c>
      <c r="D124" s="5">
        <v>16</v>
      </c>
      <c r="E124" s="5">
        <v>591</v>
      </c>
      <c r="F124" s="5">
        <v>241</v>
      </c>
      <c r="G124" s="5">
        <v>350</v>
      </c>
      <c r="H124" s="5">
        <v>0</v>
      </c>
      <c r="I124" s="5">
        <v>381</v>
      </c>
      <c r="J124" s="5">
        <v>194</v>
      </c>
      <c r="K124" s="5">
        <v>187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972</v>
      </c>
      <c r="V124" s="4" t="s">
        <v>50</v>
      </c>
      <c r="W124" s="4" t="s">
        <v>45</v>
      </c>
      <c r="X124" s="4" t="s">
        <v>89</v>
      </c>
      <c r="Y124" s="5">
        <v>1</v>
      </c>
    </row>
    <row r="125" spans="1:25" ht="15" thickBot="1" x14ac:dyDescent="0.35">
      <c r="A125" s="3">
        <v>7047</v>
      </c>
      <c r="B125" s="4" t="s">
        <v>49</v>
      </c>
      <c r="C125" s="4" t="s">
        <v>38</v>
      </c>
      <c r="D125" s="5">
        <v>22</v>
      </c>
      <c r="E125" s="5">
        <v>1635</v>
      </c>
      <c r="F125" s="5">
        <v>905</v>
      </c>
      <c r="G125" s="5">
        <v>730</v>
      </c>
      <c r="H125" s="5">
        <v>0</v>
      </c>
      <c r="I125" s="5">
        <v>3457</v>
      </c>
      <c r="J125" s="5">
        <v>1852</v>
      </c>
      <c r="K125" s="5">
        <v>1605</v>
      </c>
      <c r="L125" s="5">
        <v>0</v>
      </c>
      <c r="M125" s="5">
        <v>5004</v>
      </c>
      <c r="N125" s="5">
        <v>3031</v>
      </c>
      <c r="O125" s="5">
        <v>1973</v>
      </c>
      <c r="P125" s="5">
        <v>0</v>
      </c>
      <c r="Q125" s="5">
        <v>1668</v>
      </c>
      <c r="R125" s="5">
        <v>1053</v>
      </c>
      <c r="S125" s="5">
        <v>615</v>
      </c>
      <c r="T125" s="5">
        <v>0</v>
      </c>
      <c r="U125" s="5">
        <v>11764</v>
      </c>
      <c r="V125" s="4" t="s">
        <v>50</v>
      </c>
      <c r="W125" s="4" t="s">
        <v>39</v>
      </c>
      <c r="X125" s="4" t="s">
        <v>78</v>
      </c>
      <c r="Y125" s="5">
        <v>4</v>
      </c>
    </row>
    <row r="126" spans="1:25" ht="15" thickBot="1" x14ac:dyDescent="0.35">
      <c r="A126" s="3">
        <v>9122</v>
      </c>
      <c r="B126" s="4" t="s">
        <v>49</v>
      </c>
      <c r="C126" s="4" t="s">
        <v>44</v>
      </c>
      <c r="D126" s="5">
        <v>16</v>
      </c>
      <c r="E126" s="5">
        <v>139</v>
      </c>
      <c r="F126" s="5">
        <v>78</v>
      </c>
      <c r="G126" s="5">
        <v>61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139</v>
      </c>
      <c r="V126" s="4" t="s">
        <v>50</v>
      </c>
      <c r="W126" s="4" t="s">
        <v>45</v>
      </c>
      <c r="X126" s="4" t="s">
        <v>89</v>
      </c>
      <c r="Y126" s="5">
        <v>1</v>
      </c>
    </row>
    <row r="127" spans="1:25" ht="15" thickBot="1" x14ac:dyDescent="0.35">
      <c r="A127" s="3">
        <v>9123</v>
      </c>
      <c r="B127" s="4" t="s">
        <v>49</v>
      </c>
      <c r="C127" s="4" t="s">
        <v>38</v>
      </c>
      <c r="D127" s="5">
        <v>22</v>
      </c>
      <c r="E127" s="5">
        <v>1825</v>
      </c>
      <c r="F127" s="5">
        <v>1077</v>
      </c>
      <c r="G127" s="5">
        <v>748</v>
      </c>
      <c r="H127" s="5">
        <v>0</v>
      </c>
      <c r="I127" s="5">
        <v>2597</v>
      </c>
      <c r="J127" s="5">
        <v>1391</v>
      </c>
      <c r="K127" s="5">
        <v>1206</v>
      </c>
      <c r="L127" s="5">
        <v>0</v>
      </c>
      <c r="M127" s="5">
        <v>2202</v>
      </c>
      <c r="N127" s="5">
        <v>1618</v>
      </c>
      <c r="O127" s="5">
        <v>584</v>
      </c>
      <c r="P127" s="5">
        <v>0</v>
      </c>
      <c r="Q127" s="5">
        <v>1205</v>
      </c>
      <c r="R127" s="5">
        <v>606</v>
      </c>
      <c r="S127" s="5">
        <v>599</v>
      </c>
      <c r="T127" s="5">
        <v>0</v>
      </c>
      <c r="U127" s="5">
        <v>7829</v>
      </c>
      <c r="V127" s="4" t="s">
        <v>50</v>
      </c>
      <c r="W127" s="4" t="s">
        <v>39</v>
      </c>
      <c r="X127" s="4" t="s">
        <v>37</v>
      </c>
      <c r="Y127" s="5">
        <v>4</v>
      </c>
    </row>
    <row r="128" spans="1:25" ht="15" thickBot="1" x14ac:dyDescent="0.35">
      <c r="A128" s="3">
        <v>11244</v>
      </c>
      <c r="B128" s="4" t="s">
        <v>49</v>
      </c>
      <c r="C128" s="4" t="s">
        <v>44</v>
      </c>
      <c r="D128" s="5">
        <v>16</v>
      </c>
      <c r="E128" s="5">
        <v>400</v>
      </c>
      <c r="F128" s="5">
        <v>194</v>
      </c>
      <c r="G128" s="5">
        <v>206</v>
      </c>
      <c r="H128" s="5">
        <v>0</v>
      </c>
      <c r="I128" s="5">
        <v>121</v>
      </c>
      <c r="J128" s="5">
        <v>94</v>
      </c>
      <c r="K128" s="5">
        <v>27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521</v>
      </c>
      <c r="V128" s="4" t="s">
        <v>50</v>
      </c>
      <c r="W128" s="4" t="s">
        <v>45</v>
      </c>
      <c r="X128" s="4" t="s">
        <v>89</v>
      </c>
      <c r="Y128" s="5">
        <v>1</v>
      </c>
    </row>
    <row r="129" spans="1:25" ht="15" thickBot="1" x14ac:dyDescent="0.35">
      <c r="A129" s="3">
        <v>11245</v>
      </c>
      <c r="B129" s="4" t="s">
        <v>49</v>
      </c>
      <c r="C129" s="4" t="s">
        <v>38</v>
      </c>
      <c r="D129" s="5">
        <v>22</v>
      </c>
      <c r="E129" s="5">
        <v>675</v>
      </c>
      <c r="F129" s="5">
        <v>350</v>
      </c>
      <c r="G129" s="5">
        <v>325</v>
      </c>
      <c r="H129" s="5">
        <v>0</v>
      </c>
      <c r="I129" s="5">
        <v>1687</v>
      </c>
      <c r="J129" s="5">
        <v>755</v>
      </c>
      <c r="K129" s="5">
        <v>932</v>
      </c>
      <c r="L129" s="5">
        <v>0</v>
      </c>
      <c r="M129" s="5">
        <v>3051</v>
      </c>
      <c r="N129" s="5">
        <v>1529</v>
      </c>
      <c r="O129" s="5">
        <v>1522</v>
      </c>
      <c r="P129" s="5">
        <v>0</v>
      </c>
      <c r="Q129" s="5">
        <v>1281</v>
      </c>
      <c r="R129" s="5">
        <v>722</v>
      </c>
      <c r="S129" s="5">
        <v>559</v>
      </c>
      <c r="T129" s="5">
        <v>0</v>
      </c>
      <c r="U129" s="5">
        <v>6694</v>
      </c>
      <c r="V129" s="4" t="s">
        <v>50</v>
      </c>
      <c r="W129" s="4" t="s">
        <v>39</v>
      </c>
      <c r="X129" s="4" t="s">
        <v>37</v>
      </c>
      <c r="Y129" s="5">
        <v>4</v>
      </c>
    </row>
    <row r="130" spans="1:25" ht="15" thickBot="1" x14ac:dyDescent="0.35">
      <c r="A130" s="3">
        <v>13294</v>
      </c>
      <c r="B130" s="4" t="s">
        <v>49</v>
      </c>
      <c r="C130" s="4" t="s">
        <v>35</v>
      </c>
      <c r="D130" s="5">
        <v>25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3</v>
      </c>
      <c r="N130" s="5">
        <v>3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3</v>
      </c>
      <c r="V130" s="4" t="s">
        <v>50</v>
      </c>
      <c r="W130" s="4" t="s">
        <v>36</v>
      </c>
      <c r="X130" s="4" t="s">
        <v>75</v>
      </c>
      <c r="Y130" s="5">
        <v>1</v>
      </c>
    </row>
    <row r="131" spans="1:25" ht="15" thickBot="1" x14ac:dyDescent="0.35">
      <c r="A131" s="3">
        <v>13295</v>
      </c>
      <c r="B131" s="4" t="s">
        <v>49</v>
      </c>
      <c r="C131" s="4" t="s">
        <v>44</v>
      </c>
      <c r="D131" s="5">
        <v>16</v>
      </c>
      <c r="E131" s="5">
        <v>350</v>
      </c>
      <c r="F131" s="5">
        <v>210</v>
      </c>
      <c r="G131" s="5">
        <v>140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350</v>
      </c>
      <c r="V131" s="4" t="s">
        <v>50</v>
      </c>
      <c r="W131" s="4" t="s">
        <v>45</v>
      </c>
      <c r="X131" s="4" t="s">
        <v>89</v>
      </c>
      <c r="Y131" s="5">
        <v>1</v>
      </c>
    </row>
    <row r="132" spans="1:25" ht="15" thickBot="1" x14ac:dyDescent="0.35">
      <c r="A132" s="3">
        <v>13296</v>
      </c>
      <c r="B132" s="4" t="s">
        <v>49</v>
      </c>
      <c r="C132" s="4" t="s">
        <v>38</v>
      </c>
      <c r="D132" s="5">
        <v>22</v>
      </c>
      <c r="E132" s="5">
        <v>1185</v>
      </c>
      <c r="F132" s="5">
        <v>644</v>
      </c>
      <c r="G132" s="5">
        <v>541</v>
      </c>
      <c r="H132" s="5">
        <v>0</v>
      </c>
      <c r="I132" s="5">
        <v>1451</v>
      </c>
      <c r="J132" s="5">
        <v>948</v>
      </c>
      <c r="K132" s="5">
        <v>503</v>
      </c>
      <c r="L132" s="5">
        <v>0</v>
      </c>
      <c r="M132" s="5">
        <v>2593</v>
      </c>
      <c r="N132" s="5">
        <v>1369</v>
      </c>
      <c r="O132" s="5">
        <v>1224</v>
      </c>
      <c r="P132" s="5">
        <v>0</v>
      </c>
      <c r="Q132" s="5">
        <v>3160</v>
      </c>
      <c r="R132" s="5">
        <v>1791</v>
      </c>
      <c r="S132" s="5">
        <v>1369</v>
      </c>
      <c r="T132" s="5">
        <v>0</v>
      </c>
      <c r="U132" s="5">
        <v>8389</v>
      </c>
      <c r="V132" s="4" t="s">
        <v>50</v>
      </c>
      <c r="W132" s="4" t="s">
        <v>39</v>
      </c>
      <c r="X132" s="4" t="s">
        <v>37</v>
      </c>
      <c r="Y132" s="5">
        <v>4</v>
      </c>
    </row>
    <row r="133" spans="1:25" ht="15" thickBot="1" x14ac:dyDescent="0.35">
      <c r="A133" s="3">
        <v>13297</v>
      </c>
      <c r="B133" s="4" t="s">
        <v>49</v>
      </c>
      <c r="C133" s="4" t="s">
        <v>29</v>
      </c>
      <c r="D133" s="5">
        <v>31</v>
      </c>
      <c r="E133" s="5">
        <v>36</v>
      </c>
      <c r="F133" s="5">
        <v>0</v>
      </c>
      <c r="G133" s="5">
        <v>36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36</v>
      </c>
      <c r="V133" s="4" t="s">
        <v>50</v>
      </c>
      <c r="W133" s="4" t="s">
        <v>79</v>
      </c>
      <c r="X133" s="4" t="s">
        <v>93</v>
      </c>
      <c r="Y133" s="5">
        <v>1</v>
      </c>
    </row>
    <row r="134" spans="1:25" ht="15" thickBot="1" x14ac:dyDescent="0.35">
      <c r="A134" s="3">
        <v>978</v>
      </c>
      <c r="B134" s="4" t="s">
        <v>51</v>
      </c>
      <c r="C134" s="4" t="s">
        <v>25</v>
      </c>
      <c r="D134" s="5">
        <v>34</v>
      </c>
      <c r="E134" s="5">
        <v>45</v>
      </c>
      <c r="F134" s="5">
        <v>25</v>
      </c>
      <c r="G134" s="5">
        <v>20</v>
      </c>
      <c r="H134" s="5">
        <v>0</v>
      </c>
      <c r="I134" s="5">
        <v>38</v>
      </c>
      <c r="J134" s="5">
        <v>20</v>
      </c>
      <c r="K134" s="5">
        <v>18</v>
      </c>
      <c r="L134" s="5">
        <v>0</v>
      </c>
      <c r="M134" s="5">
        <v>30</v>
      </c>
      <c r="N134" s="5">
        <v>16</v>
      </c>
      <c r="O134" s="5">
        <v>14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113</v>
      </c>
      <c r="V134" s="4" t="s">
        <v>52</v>
      </c>
      <c r="W134" s="4" t="s">
        <v>43</v>
      </c>
      <c r="X134" s="6" t="s">
        <v>28</v>
      </c>
      <c r="Y134" s="5">
        <v>2</v>
      </c>
    </row>
    <row r="135" spans="1:25" ht="15" thickBot="1" x14ac:dyDescent="0.35">
      <c r="A135" s="3">
        <v>2627</v>
      </c>
      <c r="B135" s="4" t="s">
        <v>51</v>
      </c>
      <c r="C135" s="4" t="s">
        <v>25</v>
      </c>
      <c r="D135" s="5">
        <v>34</v>
      </c>
      <c r="E135" s="5">
        <v>12</v>
      </c>
      <c r="F135" s="5">
        <v>4</v>
      </c>
      <c r="G135" s="5">
        <v>8</v>
      </c>
      <c r="H135" s="5">
        <v>0</v>
      </c>
      <c r="I135" s="5">
        <v>16</v>
      </c>
      <c r="J135" s="5">
        <v>4</v>
      </c>
      <c r="K135" s="5">
        <v>12</v>
      </c>
      <c r="L135" s="5">
        <v>0</v>
      </c>
      <c r="M135" s="5">
        <v>20</v>
      </c>
      <c r="N135" s="5">
        <v>8</v>
      </c>
      <c r="O135" s="5">
        <v>12</v>
      </c>
      <c r="P135" s="5">
        <v>0</v>
      </c>
      <c r="Q135" s="5">
        <v>2</v>
      </c>
      <c r="R135" s="5">
        <v>0</v>
      </c>
      <c r="S135" s="5">
        <v>2</v>
      </c>
      <c r="T135" s="5">
        <v>0</v>
      </c>
      <c r="U135" s="5">
        <v>50</v>
      </c>
      <c r="V135" s="4" t="s">
        <v>52</v>
      </c>
      <c r="W135" s="4" t="s">
        <v>27</v>
      </c>
      <c r="X135" s="6" t="s">
        <v>28</v>
      </c>
      <c r="Y135" s="5">
        <v>1</v>
      </c>
    </row>
    <row r="136" spans="1:25" ht="15" thickBot="1" x14ac:dyDescent="0.35">
      <c r="A136" s="3">
        <v>4347</v>
      </c>
      <c r="B136" s="4" t="s">
        <v>51</v>
      </c>
      <c r="C136" s="4" t="s">
        <v>46</v>
      </c>
      <c r="D136" s="5">
        <v>13</v>
      </c>
      <c r="E136" s="5">
        <v>12</v>
      </c>
      <c r="F136" s="5">
        <v>4</v>
      </c>
      <c r="G136" s="5">
        <v>8</v>
      </c>
      <c r="H136" s="5">
        <v>0</v>
      </c>
      <c r="I136" s="5">
        <v>16</v>
      </c>
      <c r="J136" s="5">
        <v>4</v>
      </c>
      <c r="K136" s="5">
        <v>12</v>
      </c>
      <c r="L136" s="5">
        <v>0</v>
      </c>
      <c r="M136" s="5">
        <v>21</v>
      </c>
      <c r="N136" s="5">
        <v>8</v>
      </c>
      <c r="O136" s="5">
        <v>12</v>
      </c>
      <c r="P136" s="5">
        <v>1</v>
      </c>
      <c r="Q136" s="5">
        <v>1</v>
      </c>
      <c r="R136" s="5">
        <v>0</v>
      </c>
      <c r="S136" s="5">
        <v>1</v>
      </c>
      <c r="T136" s="5">
        <v>0</v>
      </c>
      <c r="U136" s="5">
        <v>50</v>
      </c>
      <c r="V136" s="4" t="s">
        <v>52</v>
      </c>
      <c r="W136" s="4" t="s">
        <v>68</v>
      </c>
      <c r="X136" s="4" t="s">
        <v>71</v>
      </c>
      <c r="Y136" s="5">
        <v>1</v>
      </c>
    </row>
    <row r="137" spans="1:25" ht="15" thickBot="1" x14ac:dyDescent="0.35">
      <c r="A137" s="3">
        <v>4348</v>
      </c>
      <c r="B137" s="4" t="s">
        <v>51</v>
      </c>
      <c r="C137" s="4" t="s">
        <v>29</v>
      </c>
      <c r="D137" s="5">
        <v>31</v>
      </c>
      <c r="E137" s="5">
        <v>47</v>
      </c>
      <c r="F137" s="5">
        <v>25</v>
      </c>
      <c r="G137" s="5">
        <v>22</v>
      </c>
      <c r="H137" s="5">
        <v>0</v>
      </c>
      <c r="I137" s="5">
        <v>9</v>
      </c>
      <c r="J137" s="5">
        <v>4</v>
      </c>
      <c r="K137" s="5">
        <v>5</v>
      </c>
      <c r="L137" s="5">
        <v>0</v>
      </c>
      <c r="M137" s="5">
        <v>7</v>
      </c>
      <c r="N137" s="5">
        <v>5</v>
      </c>
      <c r="O137" s="5">
        <v>2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63</v>
      </c>
      <c r="V137" s="4" t="s">
        <v>52</v>
      </c>
      <c r="W137" s="4" t="s">
        <v>55</v>
      </c>
      <c r="X137" s="4" t="s">
        <v>61</v>
      </c>
      <c r="Y137" s="5">
        <v>1</v>
      </c>
    </row>
    <row r="138" spans="1:25" ht="15" thickBot="1" x14ac:dyDescent="0.35">
      <c r="A138" s="3">
        <v>6285</v>
      </c>
      <c r="B138" s="4" t="s">
        <v>51</v>
      </c>
      <c r="C138" s="4" t="s">
        <v>44</v>
      </c>
      <c r="D138" s="5">
        <v>16</v>
      </c>
      <c r="E138" s="5">
        <v>70</v>
      </c>
      <c r="F138" s="5">
        <v>38</v>
      </c>
      <c r="G138" s="5">
        <v>32</v>
      </c>
      <c r="H138" s="5">
        <v>0</v>
      </c>
      <c r="I138" s="5">
        <v>26</v>
      </c>
      <c r="J138" s="5">
        <v>12</v>
      </c>
      <c r="K138" s="5">
        <v>14</v>
      </c>
      <c r="L138" s="5">
        <v>0</v>
      </c>
      <c r="M138" s="5">
        <v>7</v>
      </c>
      <c r="N138" s="5">
        <v>5</v>
      </c>
      <c r="O138" s="5">
        <v>2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103</v>
      </c>
      <c r="V138" s="4" t="s">
        <v>52</v>
      </c>
      <c r="W138" s="4" t="s">
        <v>45</v>
      </c>
      <c r="X138" s="4" t="s">
        <v>37</v>
      </c>
      <c r="Y138" s="5">
        <v>1</v>
      </c>
    </row>
    <row r="139" spans="1:25" ht="15" thickBot="1" x14ac:dyDescent="0.35">
      <c r="A139" s="3">
        <v>8344</v>
      </c>
      <c r="B139" s="4" t="s">
        <v>51</v>
      </c>
      <c r="C139" s="4" t="s">
        <v>44</v>
      </c>
      <c r="D139" s="5">
        <v>16</v>
      </c>
      <c r="E139" s="5">
        <v>70</v>
      </c>
      <c r="F139" s="5">
        <v>38</v>
      </c>
      <c r="G139" s="5">
        <v>32</v>
      </c>
      <c r="H139" s="5">
        <v>0</v>
      </c>
      <c r="I139" s="5">
        <v>26</v>
      </c>
      <c r="J139" s="5">
        <v>12</v>
      </c>
      <c r="K139" s="5">
        <v>14</v>
      </c>
      <c r="L139" s="5">
        <v>0</v>
      </c>
      <c r="M139" s="5">
        <v>7</v>
      </c>
      <c r="N139" s="5">
        <v>5</v>
      </c>
      <c r="O139" s="5">
        <v>2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103</v>
      </c>
      <c r="V139" s="4" t="s">
        <v>52</v>
      </c>
      <c r="W139" s="4" t="s">
        <v>45</v>
      </c>
      <c r="X139" s="4" t="s">
        <v>37</v>
      </c>
      <c r="Y139" s="5">
        <v>1</v>
      </c>
    </row>
    <row r="140" spans="1:25" ht="15" thickBot="1" x14ac:dyDescent="0.35">
      <c r="A140" s="3">
        <v>10449</v>
      </c>
      <c r="B140" s="4" t="s">
        <v>51</v>
      </c>
      <c r="C140" s="4" t="s">
        <v>44</v>
      </c>
      <c r="D140" s="5">
        <v>16</v>
      </c>
      <c r="E140" s="5">
        <v>22</v>
      </c>
      <c r="F140" s="5">
        <v>12</v>
      </c>
      <c r="G140" s="5">
        <v>10</v>
      </c>
      <c r="H140" s="5">
        <v>0</v>
      </c>
      <c r="I140" s="5">
        <v>7</v>
      </c>
      <c r="J140" s="5">
        <v>5</v>
      </c>
      <c r="K140" s="5">
        <v>2</v>
      </c>
      <c r="L140" s="5">
        <v>0</v>
      </c>
      <c r="M140" s="5">
        <v>2</v>
      </c>
      <c r="N140" s="5">
        <v>1</v>
      </c>
      <c r="O140" s="5">
        <v>1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31</v>
      </c>
      <c r="V140" s="4" t="s">
        <v>52</v>
      </c>
      <c r="W140" s="4" t="s">
        <v>45</v>
      </c>
      <c r="X140" s="4" t="s">
        <v>37</v>
      </c>
      <c r="Y140" s="5">
        <v>1</v>
      </c>
    </row>
    <row r="141" spans="1:25" ht="15" thickBot="1" x14ac:dyDescent="0.35">
      <c r="A141" s="3">
        <v>12564</v>
      </c>
      <c r="B141" s="4" t="s">
        <v>51</v>
      </c>
      <c r="C141" s="4" t="s">
        <v>44</v>
      </c>
      <c r="D141" s="5">
        <v>16</v>
      </c>
      <c r="E141" s="5">
        <v>22</v>
      </c>
      <c r="F141" s="5">
        <v>12</v>
      </c>
      <c r="G141" s="5">
        <v>10</v>
      </c>
      <c r="H141" s="5">
        <v>0</v>
      </c>
      <c r="I141" s="5">
        <v>7</v>
      </c>
      <c r="J141" s="5">
        <v>5</v>
      </c>
      <c r="K141" s="5">
        <v>2</v>
      </c>
      <c r="L141" s="5">
        <v>0</v>
      </c>
      <c r="M141" s="5">
        <v>3</v>
      </c>
      <c r="N141" s="5">
        <v>1</v>
      </c>
      <c r="O141" s="5">
        <v>2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32</v>
      </c>
      <c r="V141" s="4" t="s">
        <v>52</v>
      </c>
      <c r="W141" s="4" t="s">
        <v>45</v>
      </c>
      <c r="X141" s="4" t="s">
        <v>37</v>
      </c>
      <c r="Y141" s="5">
        <v>1</v>
      </c>
    </row>
    <row r="142" spans="1:25" ht="15" thickBot="1" x14ac:dyDescent="0.35">
      <c r="A142" s="3">
        <v>14642</v>
      </c>
      <c r="B142" s="4" t="s">
        <v>51</v>
      </c>
      <c r="C142" s="4" t="s">
        <v>33</v>
      </c>
      <c r="D142" s="5">
        <v>10</v>
      </c>
      <c r="E142" s="5">
        <v>48</v>
      </c>
      <c r="F142" s="5">
        <v>24</v>
      </c>
      <c r="G142" s="5">
        <v>24</v>
      </c>
      <c r="H142" s="5">
        <v>0</v>
      </c>
      <c r="I142" s="5">
        <v>25</v>
      </c>
      <c r="J142" s="5">
        <v>13</v>
      </c>
      <c r="K142" s="5">
        <v>12</v>
      </c>
      <c r="L142" s="5">
        <v>0</v>
      </c>
      <c r="M142" s="5">
        <v>14</v>
      </c>
      <c r="N142" s="5">
        <v>9</v>
      </c>
      <c r="O142" s="5">
        <v>4</v>
      </c>
      <c r="P142" s="5">
        <v>1</v>
      </c>
      <c r="Q142" s="5">
        <v>0</v>
      </c>
      <c r="R142" s="5">
        <v>0</v>
      </c>
      <c r="S142" s="5">
        <v>0</v>
      </c>
      <c r="T142" s="5">
        <v>0</v>
      </c>
      <c r="U142" s="5">
        <v>87</v>
      </c>
      <c r="V142" s="4" t="s">
        <v>52</v>
      </c>
      <c r="W142" s="4" t="s">
        <v>85</v>
      </c>
      <c r="X142" s="4" t="s">
        <v>98</v>
      </c>
      <c r="Y142" s="5">
        <v>2</v>
      </c>
    </row>
    <row r="143" spans="1:25" ht="15" thickBot="1" x14ac:dyDescent="0.35">
      <c r="A143" s="3">
        <v>14643</v>
      </c>
      <c r="B143" s="4" t="s">
        <v>51</v>
      </c>
      <c r="C143" s="4" t="s">
        <v>29</v>
      </c>
      <c r="D143" s="5">
        <v>31</v>
      </c>
      <c r="E143" s="5">
        <v>12</v>
      </c>
      <c r="F143" s="5">
        <v>0</v>
      </c>
      <c r="G143" s="5">
        <v>12</v>
      </c>
      <c r="H143" s="5">
        <v>0</v>
      </c>
      <c r="I143" s="5">
        <v>39</v>
      </c>
      <c r="J143" s="5">
        <v>16</v>
      </c>
      <c r="K143" s="5">
        <v>23</v>
      </c>
      <c r="L143" s="5">
        <v>0</v>
      </c>
      <c r="M143" s="5">
        <v>39</v>
      </c>
      <c r="N143" s="5">
        <v>20</v>
      </c>
      <c r="O143" s="5">
        <v>19</v>
      </c>
      <c r="P143" s="5">
        <v>0</v>
      </c>
      <c r="Q143" s="5">
        <v>5</v>
      </c>
      <c r="R143" s="5">
        <v>3</v>
      </c>
      <c r="S143" s="5">
        <v>2</v>
      </c>
      <c r="T143" s="5">
        <v>0</v>
      </c>
      <c r="U143" s="5">
        <v>95</v>
      </c>
      <c r="V143" s="4" t="s">
        <v>52</v>
      </c>
      <c r="W143" s="4" t="s">
        <v>55</v>
      </c>
      <c r="X143" s="4" t="s">
        <v>99</v>
      </c>
      <c r="Y143" s="5">
        <v>2</v>
      </c>
    </row>
    <row r="144" spans="1:25" ht="15" thickBot="1" x14ac:dyDescent="0.35">
      <c r="A144" s="3">
        <v>2323</v>
      </c>
      <c r="B144" s="4" t="s">
        <v>100</v>
      </c>
      <c r="C144" s="4" t="s">
        <v>33</v>
      </c>
      <c r="D144" s="5">
        <v>10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8</v>
      </c>
      <c r="N144" s="5">
        <v>5</v>
      </c>
      <c r="O144" s="5">
        <v>3</v>
      </c>
      <c r="P144" s="5">
        <v>0</v>
      </c>
      <c r="Q144" s="5">
        <v>4</v>
      </c>
      <c r="R144" s="5">
        <v>2</v>
      </c>
      <c r="S144" s="5">
        <v>2</v>
      </c>
      <c r="T144" s="5">
        <v>0</v>
      </c>
      <c r="U144" s="5">
        <v>12</v>
      </c>
      <c r="V144" s="4" t="s">
        <v>52</v>
      </c>
      <c r="W144" s="4" t="s">
        <v>33</v>
      </c>
      <c r="X144" s="4" t="s">
        <v>101</v>
      </c>
      <c r="Y144" s="5">
        <v>1</v>
      </c>
    </row>
    <row r="145" spans="1:25" ht="15" thickBot="1" x14ac:dyDescent="0.35">
      <c r="A145" s="3">
        <v>2324</v>
      </c>
      <c r="B145" s="4" t="s">
        <v>100</v>
      </c>
      <c r="C145" s="4" t="s">
        <v>46</v>
      </c>
      <c r="D145" s="5">
        <v>13</v>
      </c>
      <c r="E145" s="5">
        <v>19</v>
      </c>
      <c r="F145" s="5">
        <v>11</v>
      </c>
      <c r="G145" s="5">
        <v>8</v>
      </c>
      <c r="H145" s="5">
        <v>0</v>
      </c>
      <c r="I145" s="5">
        <v>3</v>
      </c>
      <c r="J145" s="5">
        <v>3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2</v>
      </c>
      <c r="R145" s="5">
        <v>0</v>
      </c>
      <c r="S145" s="5">
        <v>2</v>
      </c>
      <c r="T145" s="5">
        <v>0</v>
      </c>
      <c r="U145" s="5">
        <v>24</v>
      </c>
      <c r="V145" s="4" t="s">
        <v>52</v>
      </c>
      <c r="W145" s="4" t="s">
        <v>70</v>
      </c>
      <c r="X145" s="4" t="s">
        <v>102</v>
      </c>
      <c r="Y145" s="5">
        <v>1</v>
      </c>
    </row>
    <row r="146" spans="1:25" ht="15" thickBot="1" x14ac:dyDescent="0.35">
      <c r="A146" s="3">
        <v>2325</v>
      </c>
      <c r="B146" s="4" t="s">
        <v>100</v>
      </c>
      <c r="C146" s="4" t="s">
        <v>44</v>
      </c>
      <c r="D146" s="5">
        <v>16</v>
      </c>
      <c r="E146" s="5">
        <v>17</v>
      </c>
      <c r="F146" s="5">
        <v>6</v>
      </c>
      <c r="G146" s="5">
        <v>11</v>
      </c>
      <c r="H146" s="5">
        <v>0</v>
      </c>
      <c r="I146" s="5">
        <v>17</v>
      </c>
      <c r="J146" s="5">
        <v>3</v>
      </c>
      <c r="K146" s="5">
        <v>14</v>
      </c>
      <c r="L146" s="5">
        <v>0</v>
      </c>
      <c r="M146" s="5">
        <v>6</v>
      </c>
      <c r="N146" s="5">
        <v>2</v>
      </c>
      <c r="O146" s="5">
        <v>4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40</v>
      </c>
      <c r="V146" s="4" t="s">
        <v>52</v>
      </c>
      <c r="W146" s="4" t="s">
        <v>45</v>
      </c>
      <c r="X146" s="4" t="s">
        <v>89</v>
      </c>
      <c r="Y146" s="5">
        <v>1</v>
      </c>
    </row>
    <row r="147" spans="1:25" ht="15" thickBot="1" x14ac:dyDescent="0.35">
      <c r="A147" s="3">
        <v>2326</v>
      </c>
      <c r="B147" s="4" t="s">
        <v>100</v>
      </c>
      <c r="C147" s="4" t="s">
        <v>38</v>
      </c>
      <c r="D147" s="5">
        <v>22</v>
      </c>
      <c r="E147" s="5">
        <v>0</v>
      </c>
      <c r="F147" s="5">
        <v>0</v>
      </c>
      <c r="G147" s="5">
        <v>0</v>
      </c>
      <c r="H147" s="5">
        <v>0</v>
      </c>
      <c r="I147" s="5">
        <v>101</v>
      </c>
      <c r="J147" s="5">
        <v>54</v>
      </c>
      <c r="K147" s="5">
        <v>47</v>
      </c>
      <c r="L147" s="5">
        <v>0</v>
      </c>
      <c r="M147" s="5">
        <v>25</v>
      </c>
      <c r="N147" s="5">
        <v>13</v>
      </c>
      <c r="O147" s="5">
        <v>12</v>
      </c>
      <c r="P147" s="5">
        <v>0</v>
      </c>
      <c r="Q147" s="5">
        <v>1</v>
      </c>
      <c r="R147" s="5">
        <v>0</v>
      </c>
      <c r="S147" s="5">
        <v>1</v>
      </c>
      <c r="T147" s="5">
        <v>0</v>
      </c>
      <c r="U147" s="5">
        <v>127</v>
      </c>
      <c r="V147" s="4" t="s">
        <v>52</v>
      </c>
      <c r="W147" s="4" t="s">
        <v>59</v>
      </c>
      <c r="X147" s="4" t="s">
        <v>60</v>
      </c>
      <c r="Y147" s="5">
        <v>3</v>
      </c>
    </row>
    <row r="148" spans="1:25" ht="15" thickBot="1" x14ac:dyDescent="0.35">
      <c r="A148" s="3">
        <v>4057</v>
      </c>
      <c r="B148" s="4" t="s">
        <v>100</v>
      </c>
      <c r="C148" s="4" t="s">
        <v>33</v>
      </c>
      <c r="D148" s="5">
        <v>10</v>
      </c>
      <c r="E148" s="5">
        <v>66</v>
      </c>
      <c r="F148" s="5">
        <v>39</v>
      </c>
      <c r="G148" s="5">
        <v>27</v>
      </c>
      <c r="H148" s="5">
        <v>0</v>
      </c>
      <c r="I148" s="5">
        <v>33</v>
      </c>
      <c r="J148" s="5">
        <v>12</v>
      </c>
      <c r="K148" s="5">
        <v>21</v>
      </c>
      <c r="L148" s="5">
        <v>0</v>
      </c>
      <c r="M148" s="5">
        <v>38</v>
      </c>
      <c r="N148" s="5">
        <v>25</v>
      </c>
      <c r="O148" s="5">
        <v>13</v>
      </c>
      <c r="P148" s="5">
        <v>0</v>
      </c>
      <c r="Q148" s="5">
        <v>33</v>
      </c>
      <c r="R148" s="5">
        <v>15</v>
      </c>
      <c r="S148" s="5">
        <v>18</v>
      </c>
      <c r="T148" s="5">
        <v>0</v>
      </c>
      <c r="U148" s="5">
        <v>170</v>
      </c>
      <c r="V148" s="4" t="s">
        <v>52</v>
      </c>
      <c r="W148" s="4" t="s">
        <v>33</v>
      </c>
      <c r="X148" s="4" t="s">
        <v>101</v>
      </c>
      <c r="Y148" s="5">
        <v>5</v>
      </c>
    </row>
    <row r="149" spans="1:25" ht="15" thickBot="1" x14ac:dyDescent="0.35">
      <c r="A149" s="3">
        <v>4058</v>
      </c>
      <c r="B149" s="4" t="s">
        <v>100</v>
      </c>
      <c r="C149" s="4" t="s">
        <v>44</v>
      </c>
      <c r="D149" s="5">
        <v>16</v>
      </c>
      <c r="E149" s="5">
        <v>20</v>
      </c>
      <c r="F149" s="5">
        <v>8</v>
      </c>
      <c r="G149" s="5">
        <v>12</v>
      </c>
      <c r="H149" s="5">
        <v>0</v>
      </c>
      <c r="I149" s="5">
        <v>17</v>
      </c>
      <c r="J149" s="5">
        <v>11</v>
      </c>
      <c r="K149" s="5">
        <v>6</v>
      </c>
      <c r="L149" s="5">
        <v>0</v>
      </c>
      <c r="M149" s="5">
        <v>6</v>
      </c>
      <c r="N149" s="5">
        <v>2</v>
      </c>
      <c r="O149" s="5">
        <v>4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43</v>
      </c>
      <c r="V149" s="4" t="s">
        <v>52</v>
      </c>
      <c r="W149" s="4" t="s">
        <v>45</v>
      </c>
      <c r="X149" s="4" t="s">
        <v>89</v>
      </c>
      <c r="Y149" s="5">
        <v>1</v>
      </c>
    </row>
    <row r="150" spans="1:25" ht="15" thickBot="1" x14ac:dyDescent="0.35">
      <c r="A150" s="3">
        <v>4059</v>
      </c>
      <c r="B150" s="4" t="s">
        <v>100</v>
      </c>
      <c r="C150" s="4" t="s">
        <v>38</v>
      </c>
      <c r="D150" s="5">
        <v>22</v>
      </c>
      <c r="E150" s="5">
        <v>57</v>
      </c>
      <c r="F150" s="5">
        <v>25</v>
      </c>
      <c r="G150" s="5">
        <v>32</v>
      </c>
      <c r="H150" s="5">
        <v>0</v>
      </c>
      <c r="I150" s="5">
        <v>123</v>
      </c>
      <c r="J150" s="5">
        <v>58</v>
      </c>
      <c r="K150" s="5">
        <v>65</v>
      </c>
      <c r="L150" s="5">
        <v>0</v>
      </c>
      <c r="M150" s="5">
        <v>140</v>
      </c>
      <c r="N150" s="5">
        <v>82</v>
      </c>
      <c r="O150" s="5">
        <v>58</v>
      </c>
      <c r="P150" s="5">
        <v>0</v>
      </c>
      <c r="Q150" s="5">
        <v>61</v>
      </c>
      <c r="R150" s="5">
        <v>40</v>
      </c>
      <c r="S150" s="5">
        <v>21</v>
      </c>
      <c r="T150" s="5">
        <v>0</v>
      </c>
      <c r="U150" s="5">
        <v>381</v>
      </c>
      <c r="V150" s="4" t="s">
        <v>52</v>
      </c>
      <c r="W150" s="4" t="s">
        <v>59</v>
      </c>
      <c r="X150" s="4" t="s">
        <v>60</v>
      </c>
      <c r="Y150" s="5">
        <v>4</v>
      </c>
    </row>
    <row r="151" spans="1:25" ht="15" thickBot="1" x14ac:dyDescent="0.35">
      <c r="A151" s="3">
        <v>4060</v>
      </c>
      <c r="B151" s="4" t="s">
        <v>100</v>
      </c>
      <c r="C151" s="4" t="s">
        <v>29</v>
      </c>
      <c r="D151" s="5">
        <v>31</v>
      </c>
      <c r="E151" s="5">
        <v>53</v>
      </c>
      <c r="F151" s="5">
        <v>25</v>
      </c>
      <c r="G151" s="5">
        <v>28</v>
      </c>
      <c r="H151" s="5">
        <v>0</v>
      </c>
      <c r="I151" s="5">
        <v>24</v>
      </c>
      <c r="J151" s="5">
        <v>10</v>
      </c>
      <c r="K151" s="5">
        <v>14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77</v>
      </c>
      <c r="V151" s="4" t="s">
        <v>52</v>
      </c>
      <c r="W151" s="4" t="s">
        <v>63</v>
      </c>
      <c r="X151" s="4" t="s">
        <v>37</v>
      </c>
      <c r="Y151" s="5">
        <v>2</v>
      </c>
    </row>
    <row r="152" spans="1:25" ht="15" thickBot="1" x14ac:dyDescent="0.35">
      <c r="A152" s="3">
        <v>5976</v>
      </c>
      <c r="B152" s="4" t="s">
        <v>100</v>
      </c>
      <c r="C152" s="4" t="s">
        <v>33</v>
      </c>
      <c r="D152" s="5">
        <v>10</v>
      </c>
      <c r="E152" s="5">
        <v>66</v>
      </c>
      <c r="F152" s="5">
        <v>39</v>
      </c>
      <c r="G152" s="5">
        <v>27</v>
      </c>
      <c r="H152" s="5">
        <v>0</v>
      </c>
      <c r="I152" s="5">
        <v>34</v>
      </c>
      <c r="J152" s="5">
        <v>13</v>
      </c>
      <c r="K152" s="5">
        <v>21</v>
      </c>
      <c r="L152" s="5">
        <v>0</v>
      </c>
      <c r="M152" s="5">
        <v>43</v>
      </c>
      <c r="N152" s="5">
        <v>23</v>
      </c>
      <c r="O152" s="5">
        <v>20</v>
      </c>
      <c r="P152" s="5">
        <v>0</v>
      </c>
      <c r="Q152" s="5">
        <v>33</v>
      </c>
      <c r="R152" s="5">
        <v>15</v>
      </c>
      <c r="S152" s="5">
        <v>18</v>
      </c>
      <c r="T152" s="5">
        <v>0</v>
      </c>
      <c r="U152" s="5">
        <v>176</v>
      </c>
      <c r="V152" s="4" t="s">
        <v>52</v>
      </c>
      <c r="W152" s="4" t="s">
        <v>33</v>
      </c>
      <c r="X152" s="4" t="s">
        <v>101</v>
      </c>
      <c r="Y152" s="5">
        <v>5</v>
      </c>
    </row>
    <row r="153" spans="1:25" ht="15" thickBot="1" x14ac:dyDescent="0.35">
      <c r="A153" s="3">
        <v>5977</v>
      </c>
      <c r="B153" s="4" t="s">
        <v>100</v>
      </c>
      <c r="C153" s="4" t="s">
        <v>44</v>
      </c>
      <c r="D153" s="5">
        <v>16</v>
      </c>
      <c r="E153" s="5">
        <v>21</v>
      </c>
      <c r="F153" s="5">
        <v>9</v>
      </c>
      <c r="G153" s="5">
        <v>12</v>
      </c>
      <c r="H153" s="5">
        <v>0</v>
      </c>
      <c r="I153" s="5">
        <v>26</v>
      </c>
      <c r="J153" s="5">
        <v>11</v>
      </c>
      <c r="K153" s="5">
        <v>15</v>
      </c>
      <c r="L153" s="5">
        <v>0</v>
      </c>
      <c r="M153" s="5">
        <v>6</v>
      </c>
      <c r="N153" s="5">
        <v>2</v>
      </c>
      <c r="O153" s="5">
        <v>4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53</v>
      </c>
      <c r="V153" s="4" t="s">
        <v>52</v>
      </c>
      <c r="W153" s="4" t="s">
        <v>45</v>
      </c>
      <c r="X153" s="4" t="s">
        <v>89</v>
      </c>
      <c r="Y153" s="5">
        <v>1</v>
      </c>
    </row>
    <row r="154" spans="1:25" ht="15" thickBot="1" x14ac:dyDescent="0.35">
      <c r="A154" s="3">
        <v>5978</v>
      </c>
      <c r="B154" s="4" t="s">
        <v>100</v>
      </c>
      <c r="C154" s="4" t="s">
        <v>38</v>
      </c>
      <c r="D154" s="5">
        <v>22</v>
      </c>
      <c r="E154" s="5">
        <v>7</v>
      </c>
      <c r="F154" s="5">
        <v>5</v>
      </c>
      <c r="G154" s="5">
        <v>2</v>
      </c>
      <c r="H154" s="5">
        <v>0</v>
      </c>
      <c r="I154" s="5">
        <v>30</v>
      </c>
      <c r="J154" s="5">
        <v>15</v>
      </c>
      <c r="K154" s="5">
        <v>15</v>
      </c>
      <c r="L154" s="5">
        <v>0</v>
      </c>
      <c r="M154" s="5">
        <v>76</v>
      </c>
      <c r="N154" s="5">
        <v>52</v>
      </c>
      <c r="O154" s="5">
        <v>24</v>
      </c>
      <c r="P154" s="5">
        <v>0</v>
      </c>
      <c r="Q154" s="5">
        <v>37</v>
      </c>
      <c r="R154" s="5">
        <v>17</v>
      </c>
      <c r="S154" s="5">
        <v>11</v>
      </c>
      <c r="T154" s="5">
        <v>9</v>
      </c>
      <c r="U154" s="5">
        <v>150</v>
      </c>
      <c r="V154" s="4" t="s">
        <v>52</v>
      </c>
      <c r="W154" s="4" t="s">
        <v>39</v>
      </c>
      <c r="X154" s="4" t="s">
        <v>40</v>
      </c>
      <c r="Y154" s="5">
        <v>3</v>
      </c>
    </row>
    <row r="155" spans="1:25" ht="15" thickBot="1" x14ac:dyDescent="0.35">
      <c r="A155" s="3">
        <v>5979</v>
      </c>
      <c r="B155" s="4" t="s">
        <v>100</v>
      </c>
      <c r="C155" s="4" t="s">
        <v>29</v>
      </c>
      <c r="D155" s="5">
        <v>31</v>
      </c>
      <c r="E155" s="5">
        <v>54</v>
      </c>
      <c r="F155" s="5">
        <v>25</v>
      </c>
      <c r="G155" s="5">
        <v>29</v>
      </c>
      <c r="H155" s="5">
        <v>0</v>
      </c>
      <c r="I155" s="5">
        <v>35</v>
      </c>
      <c r="J155" s="5">
        <v>21</v>
      </c>
      <c r="K155" s="5">
        <v>14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89</v>
      </c>
      <c r="V155" s="4" t="s">
        <v>52</v>
      </c>
      <c r="W155" s="4" t="s">
        <v>63</v>
      </c>
      <c r="X155" s="4" t="s">
        <v>37</v>
      </c>
      <c r="Y155" s="5">
        <v>2</v>
      </c>
    </row>
    <row r="156" spans="1:25" ht="15" thickBot="1" x14ac:dyDescent="0.35">
      <c r="A156" s="3">
        <v>8028</v>
      </c>
      <c r="B156" s="4" t="s">
        <v>100</v>
      </c>
      <c r="C156" s="4" t="s">
        <v>33</v>
      </c>
      <c r="D156" s="5">
        <v>10</v>
      </c>
      <c r="E156" s="5">
        <v>65</v>
      </c>
      <c r="F156" s="5">
        <v>39</v>
      </c>
      <c r="G156" s="5">
        <v>26</v>
      </c>
      <c r="H156" s="5">
        <v>0</v>
      </c>
      <c r="I156" s="5">
        <v>37</v>
      </c>
      <c r="J156" s="5">
        <v>13</v>
      </c>
      <c r="K156" s="5">
        <v>24</v>
      </c>
      <c r="L156" s="5">
        <v>0</v>
      </c>
      <c r="M156" s="5">
        <v>43</v>
      </c>
      <c r="N156" s="5">
        <v>23</v>
      </c>
      <c r="O156" s="5">
        <v>20</v>
      </c>
      <c r="P156" s="5">
        <v>0</v>
      </c>
      <c r="Q156" s="5">
        <v>8</v>
      </c>
      <c r="R156" s="5">
        <v>3</v>
      </c>
      <c r="S156" s="5">
        <v>5</v>
      </c>
      <c r="T156" s="5">
        <v>0</v>
      </c>
      <c r="U156" s="5">
        <v>153</v>
      </c>
      <c r="V156" s="4" t="s">
        <v>52</v>
      </c>
      <c r="W156" s="4" t="s">
        <v>33</v>
      </c>
      <c r="X156" s="4" t="s">
        <v>101</v>
      </c>
      <c r="Y156" s="5">
        <v>5</v>
      </c>
    </row>
    <row r="157" spans="1:25" ht="15" thickBot="1" x14ac:dyDescent="0.35">
      <c r="A157" s="3">
        <v>8029</v>
      </c>
      <c r="B157" s="4" t="s">
        <v>100</v>
      </c>
      <c r="C157" s="4" t="s">
        <v>44</v>
      </c>
      <c r="D157" s="5">
        <v>16</v>
      </c>
      <c r="E157" s="5">
        <v>22</v>
      </c>
      <c r="F157" s="5">
        <v>9</v>
      </c>
      <c r="G157" s="5">
        <v>13</v>
      </c>
      <c r="H157" s="5">
        <v>0</v>
      </c>
      <c r="I157" s="5">
        <v>26</v>
      </c>
      <c r="J157" s="5">
        <v>11</v>
      </c>
      <c r="K157" s="5">
        <v>15</v>
      </c>
      <c r="L157" s="5">
        <v>0</v>
      </c>
      <c r="M157" s="5">
        <v>6</v>
      </c>
      <c r="N157" s="5">
        <v>2</v>
      </c>
      <c r="O157" s="5">
        <v>4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54</v>
      </c>
      <c r="V157" s="4" t="s">
        <v>52</v>
      </c>
      <c r="W157" s="4" t="s">
        <v>45</v>
      </c>
      <c r="X157" s="4" t="s">
        <v>89</v>
      </c>
      <c r="Y157" s="5">
        <v>1</v>
      </c>
    </row>
    <row r="158" spans="1:25" ht="15" thickBot="1" x14ac:dyDescent="0.35">
      <c r="A158" s="3">
        <v>8030</v>
      </c>
      <c r="B158" s="4" t="s">
        <v>100</v>
      </c>
      <c r="C158" s="4" t="s">
        <v>38</v>
      </c>
      <c r="D158" s="5">
        <v>22</v>
      </c>
      <c r="E158" s="5">
        <v>16</v>
      </c>
      <c r="F158" s="5">
        <v>6</v>
      </c>
      <c r="G158" s="5">
        <v>10</v>
      </c>
      <c r="H158" s="5">
        <v>0</v>
      </c>
      <c r="I158" s="5">
        <v>36</v>
      </c>
      <c r="J158" s="5">
        <v>17</v>
      </c>
      <c r="K158" s="5">
        <v>19</v>
      </c>
      <c r="L158" s="5">
        <v>0</v>
      </c>
      <c r="M158" s="5">
        <v>55</v>
      </c>
      <c r="N158" s="5">
        <v>32</v>
      </c>
      <c r="O158" s="5">
        <v>23</v>
      </c>
      <c r="P158" s="5">
        <v>0</v>
      </c>
      <c r="Q158" s="5">
        <v>31</v>
      </c>
      <c r="R158" s="5">
        <v>23</v>
      </c>
      <c r="S158" s="5">
        <v>8</v>
      </c>
      <c r="T158" s="5">
        <v>0</v>
      </c>
      <c r="U158" s="5">
        <v>138</v>
      </c>
      <c r="V158" s="4" t="s">
        <v>52</v>
      </c>
      <c r="W158" s="4" t="s">
        <v>39</v>
      </c>
      <c r="X158" s="4" t="s">
        <v>40</v>
      </c>
      <c r="Y158" s="5">
        <v>3</v>
      </c>
    </row>
    <row r="159" spans="1:25" ht="15" thickBot="1" x14ac:dyDescent="0.35">
      <c r="A159" s="3">
        <v>8031</v>
      </c>
      <c r="B159" s="4" t="s">
        <v>100</v>
      </c>
      <c r="C159" s="4" t="s">
        <v>29</v>
      </c>
      <c r="D159" s="5">
        <v>31</v>
      </c>
      <c r="E159" s="5">
        <v>54</v>
      </c>
      <c r="F159" s="5">
        <v>26</v>
      </c>
      <c r="G159" s="5">
        <v>28</v>
      </c>
      <c r="H159" s="5">
        <v>0</v>
      </c>
      <c r="I159" s="5">
        <v>28</v>
      </c>
      <c r="J159" s="5">
        <v>11</v>
      </c>
      <c r="K159" s="5">
        <v>17</v>
      </c>
      <c r="L159" s="5">
        <v>0</v>
      </c>
      <c r="M159" s="5">
        <v>3</v>
      </c>
      <c r="N159" s="5">
        <v>1</v>
      </c>
      <c r="O159" s="5">
        <v>2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85</v>
      </c>
      <c r="V159" s="4" t="s">
        <v>52</v>
      </c>
      <c r="W159" s="4" t="s">
        <v>63</v>
      </c>
      <c r="X159" s="4" t="s">
        <v>37</v>
      </c>
      <c r="Y159" s="5">
        <v>2</v>
      </c>
    </row>
    <row r="160" spans="1:25" ht="15" thickBot="1" x14ac:dyDescent="0.35">
      <c r="A160" s="3">
        <v>10126</v>
      </c>
      <c r="B160" s="4" t="s">
        <v>100</v>
      </c>
      <c r="C160" s="4" t="s">
        <v>25</v>
      </c>
      <c r="D160" s="5">
        <v>34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3</v>
      </c>
      <c r="N160" s="5">
        <v>1</v>
      </c>
      <c r="O160" s="5">
        <v>2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3</v>
      </c>
      <c r="V160" s="4" t="s">
        <v>52</v>
      </c>
      <c r="W160" s="4" t="s">
        <v>64</v>
      </c>
      <c r="X160" s="6" t="s">
        <v>28</v>
      </c>
      <c r="Y160" s="5">
        <v>1</v>
      </c>
    </row>
    <row r="161" spans="1:25" ht="15" thickBot="1" x14ac:dyDescent="0.35">
      <c r="A161" s="3">
        <v>10127</v>
      </c>
      <c r="B161" s="4" t="s">
        <v>100</v>
      </c>
      <c r="C161" s="4" t="s">
        <v>33</v>
      </c>
      <c r="D161" s="5">
        <v>10</v>
      </c>
      <c r="E161" s="5">
        <v>99</v>
      </c>
      <c r="F161" s="5">
        <v>61</v>
      </c>
      <c r="G161" s="5">
        <v>38</v>
      </c>
      <c r="H161" s="5">
        <v>0</v>
      </c>
      <c r="I161" s="5">
        <v>52</v>
      </c>
      <c r="J161" s="5">
        <v>23</v>
      </c>
      <c r="K161" s="5">
        <v>29</v>
      </c>
      <c r="L161" s="5">
        <v>0</v>
      </c>
      <c r="M161" s="5">
        <v>52</v>
      </c>
      <c r="N161" s="5">
        <v>24</v>
      </c>
      <c r="O161" s="5">
        <v>28</v>
      </c>
      <c r="P161" s="5">
        <v>0</v>
      </c>
      <c r="Q161" s="5">
        <v>13</v>
      </c>
      <c r="R161" s="5">
        <v>7</v>
      </c>
      <c r="S161" s="5">
        <v>6</v>
      </c>
      <c r="T161" s="5">
        <v>0</v>
      </c>
      <c r="U161" s="5">
        <v>216</v>
      </c>
      <c r="V161" s="4" t="s">
        <v>52</v>
      </c>
      <c r="W161" s="4" t="s">
        <v>33</v>
      </c>
      <c r="X161" s="4" t="s">
        <v>67</v>
      </c>
      <c r="Y161" s="5">
        <v>5</v>
      </c>
    </row>
    <row r="162" spans="1:25" ht="15" thickBot="1" x14ac:dyDescent="0.35">
      <c r="A162" s="3">
        <v>10128</v>
      </c>
      <c r="B162" s="4" t="s">
        <v>100</v>
      </c>
      <c r="C162" s="4" t="s">
        <v>44</v>
      </c>
      <c r="D162" s="5">
        <v>16</v>
      </c>
      <c r="E162" s="5">
        <v>45</v>
      </c>
      <c r="F162" s="5">
        <v>24</v>
      </c>
      <c r="G162" s="5">
        <v>21</v>
      </c>
      <c r="H162" s="5">
        <v>0</v>
      </c>
      <c r="I162" s="5">
        <v>42</v>
      </c>
      <c r="J162" s="5">
        <v>20</v>
      </c>
      <c r="K162" s="5">
        <v>22</v>
      </c>
      <c r="L162" s="5">
        <v>0</v>
      </c>
      <c r="M162" s="5">
        <v>6</v>
      </c>
      <c r="N162" s="5">
        <v>2</v>
      </c>
      <c r="O162" s="5">
        <v>4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93</v>
      </c>
      <c r="V162" s="4" t="s">
        <v>52</v>
      </c>
      <c r="W162" s="4" t="s">
        <v>45</v>
      </c>
      <c r="X162" s="4" t="s">
        <v>89</v>
      </c>
      <c r="Y162" s="5">
        <v>2</v>
      </c>
    </row>
    <row r="163" spans="1:25" ht="15" thickBot="1" x14ac:dyDescent="0.35">
      <c r="A163" s="3">
        <v>10129</v>
      </c>
      <c r="B163" s="4" t="s">
        <v>100</v>
      </c>
      <c r="C163" s="4" t="s">
        <v>38</v>
      </c>
      <c r="D163" s="5">
        <v>22</v>
      </c>
      <c r="E163" s="5">
        <v>27</v>
      </c>
      <c r="F163" s="5">
        <v>15</v>
      </c>
      <c r="G163" s="5">
        <v>12</v>
      </c>
      <c r="H163" s="5">
        <v>0</v>
      </c>
      <c r="I163" s="5">
        <v>38</v>
      </c>
      <c r="J163" s="5">
        <v>19</v>
      </c>
      <c r="K163" s="5">
        <v>19</v>
      </c>
      <c r="L163" s="5">
        <v>0</v>
      </c>
      <c r="M163" s="5">
        <v>70</v>
      </c>
      <c r="N163" s="5">
        <v>47</v>
      </c>
      <c r="O163" s="5">
        <v>23</v>
      </c>
      <c r="P163" s="5">
        <v>0</v>
      </c>
      <c r="Q163" s="5">
        <v>75</v>
      </c>
      <c r="R163" s="5">
        <v>39</v>
      </c>
      <c r="S163" s="5">
        <v>36</v>
      </c>
      <c r="T163" s="5">
        <v>0</v>
      </c>
      <c r="U163" s="5">
        <v>210</v>
      </c>
      <c r="V163" s="4" t="s">
        <v>52</v>
      </c>
      <c r="W163" s="4" t="s">
        <v>39</v>
      </c>
      <c r="X163" s="4" t="s">
        <v>40</v>
      </c>
      <c r="Y163" s="5">
        <v>4</v>
      </c>
    </row>
    <row r="164" spans="1:25" ht="15" thickBot="1" x14ac:dyDescent="0.35">
      <c r="A164" s="3">
        <v>10130</v>
      </c>
      <c r="B164" s="4" t="s">
        <v>100</v>
      </c>
      <c r="C164" s="4" t="s">
        <v>29</v>
      </c>
      <c r="D164" s="5">
        <v>31</v>
      </c>
      <c r="E164" s="5">
        <v>75</v>
      </c>
      <c r="F164" s="5">
        <v>33</v>
      </c>
      <c r="G164" s="5">
        <v>42</v>
      </c>
      <c r="H164" s="5">
        <v>0</v>
      </c>
      <c r="I164" s="5">
        <v>56</v>
      </c>
      <c r="J164" s="5">
        <v>17</v>
      </c>
      <c r="K164" s="5">
        <v>39</v>
      </c>
      <c r="L164" s="5">
        <v>0</v>
      </c>
      <c r="M164" s="5">
        <v>10</v>
      </c>
      <c r="N164" s="5">
        <v>4</v>
      </c>
      <c r="O164" s="5">
        <v>6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141</v>
      </c>
      <c r="V164" s="4" t="s">
        <v>52</v>
      </c>
      <c r="W164" s="4" t="s">
        <v>55</v>
      </c>
      <c r="X164" s="4" t="s">
        <v>61</v>
      </c>
      <c r="Y164" s="5">
        <v>2</v>
      </c>
    </row>
    <row r="165" spans="1:25" ht="15" thickBot="1" x14ac:dyDescent="0.35">
      <c r="A165" s="3">
        <v>12238</v>
      </c>
      <c r="B165" s="4" t="s">
        <v>100</v>
      </c>
      <c r="C165" s="4" t="s">
        <v>33</v>
      </c>
      <c r="D165" s="5">
        <v>10</v>
      </c>
      <c r="E165" s="5">
        <v>87</v>
      </c>
      <c r="F165" s="5">
        <v>48</v>
      </c>
      <c r="G165" s="5">
        <v>39</v>
      </c>
      <c r="H165" s="5">
        <v>0</v>
      </c>
      <c r="I165" s="5">
        <v>59</v>
      </c>
      <c r="J165" s="5">
        <v>18</v>
      </c>
      <c r="K165" s="5">
        <v>41</v>
      </c>
      <c r="L165" s="5">
        <v>0</v>
      </c>
      <c r="M165" s="5">
        <v>33</v>
      </c>
      <c r="N165" s="5">
        <v>27</v>
      </c>
      <c r="O165" s="5">
        <v>6</v>
      </c>
      <c r="P165" s="5">
        <v>0</v>
      </c>
      <c r="Q165" s="5">
        <v>9</v>
      </c>
      <c r="R165" s="5">
        <v>7</v>
      </c>
      <c r="S165" s="5">
        <v>2</v>
      </c>
      <c r="T165" s="5">
        <v>0</v>
      </c>
      <c r="U165" s="5">
        <v>188</v>
      </c>
      <c r="V165" s="4" t="s">
        <v>52</v>
      </c>
      <c r="W165" s="4" t="s">
        <v>33</v>
      </c>
      <c r="X165" s="4" t="s">
        <v>67</v>
      </c>
      <c r="Y165" s="5">
        <v>5</v>
      </c>
    </row>
    <row r="166" spans="1:25" ht="15" thickBot="1" x14ac:dyDescent="0.35">
      <c r="A166" s="3">
        <v>12239</v>
      </c>
      <c r="B166" s="4" t="s">
        <v>100</v>
      </c>
      <c r="C166" s="4" t="s">
        <v>44</v>
      </c>
      <c r="D166" s="5">
        <v>16</v>
      </c>
      <c r="E166" s="5">
        <v>25</v>
      </c>
      <c r="F166" s="5">
        <v>9</v>
      </c>
      <c r="G166" s="5">
        <v>16</v>
      </c>
      <c r="H166" s="5">
        <v>0</v>
      </c>
      <c r="I166" s="5">
        <v>27</v>
      </c>
      <c r="J166" s="5">
        <v>15</v>
      </c>
      <c r="K166" s="5">
        <v>12</v>
      </c>
      <c r="L166" s="5">
        <v>0</v>
      </c>
      <c r="M166" s="5">
        <v>18</v>
      </c>
      <c r="N166" s="5">
        <v>11</v>
      </c>
      <c r="O166" s="5">
        <v>7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70</v>
      </c>
      <c r="V166" s="4" t="s">
        <v>52</v>
      </c>
      <c r="W166" s="4" t="s">
        <v>45</v>
      </c>
      <c r="X166" s="4" t="s">
        <v>89</v>
      </c>
      <c r="Y166" s="5">
        <v>1</v>
      </c>
    </row>
    <row r="167" spans="1:25" ht="15" thickBot="1" x14ac:dyDescent="0.35">
      <c r="A167" s="3">
        <v>12240</v>
      </c>
      <c r="B167" s="4" t="s">
        <v>100</v>
      </c>
      <c r="C167" s="4" t="s">
        <v>38</v>
      </c>
      <c r="D167" s="5">
        <v>22</v>
      </c>
      <c r="E167" s="5">
        <v>24</v>
      </c>
      <c r="F167" s="5">
        <v>15</v>
      </c>
      <c r="G167" s="5">
        <v>9</v>
      </c>
      <c r="H167" s="5">
        <v>0</v>
      </c>
      <c r="I167" s="5">
        <v>45</v>
      </c>
      <c r="J167" s="5">
        <v>19</v>
      </c>
      <c r="K167" s="5">
        <v>26</v>
      </c>
      <c r="L167" s="5">
        <v>0</v>
      </c>
      <c r="M167" s="5">
        <v>75</v>
      </c>
      <c r="N167" s="5">
        <v>50</v>
      </c>
      <c r="O167" s="5">
        <v>25</v>
      </c>
      <c r="P167" s="5">
        <v>0</v>
      </c>
      <c r="Q167" s="5">
        <v>78</v>
      </c>
      <c r="R167" s="5">
        <v>31</v>
      </c>
      <c r="S167" s="5">
        <v>47</v>
      </c>
      <c r="T167" s="5">
        <v>0</v>
      </c>
      <c r="U167" s="5">
        <v>222</v>
      </c>
      <c r="V167" s="4" t="s">
        <v>52</v>
      </c>
      <c r="W167" s="4" t="s">
        <v>39</v>
      </c>
      <c r="X167" s="4" t="s">
        <v>40</v>
      </c>
      <c r="Y167" s="5">
        <v>4</v>
      </c>
    </row>
    <row r="168" spans="1:25" ht="15" thickBot="1" x14ac:dyDescent="0.35">
      <c r="A168" s="3">
        <v>12241</v>
      </c>
      <c r="B168" s="4" t="s">
        <v>100</v>
      </c>
      <c r="C168" s="4" t="s">
        <v>29</v>
      </c>
      <c r="D168" s="5">
        <v>31</v>
      </c>
      <c r="E168" s="5">
        <v>80</v>
      </c>
      <c r="F168" s="5">
        <v>34</v>
      </c>
      <c r="G168" s="5">
        <v>46</v>
      </c>
      <c r="H168" s="5">
        <v>0</v>
      </c>
      <c r="I168" s="5">
        <v>60</v>
      </c>
      <c r="J168" s="5">
        <v>24</v>
      </c>
      <c r="K168" s="5">
        <v>36</v>
      </c>
      <c r="L168" s="5">
        <v>0</v>
      </c>
      <c r="M168" s="5">
        <v>11</v>
      </c>
      <c r="N168" s="5">
        <v>6</v>
      </c>
      <c r="O168" s="5">
        <v>5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151</v>
      </c>
      <c r="V168" s="4" t="s">
        <v>52</v>
      </c>
      <c r="W168" s="4" t="s">
        <v>55</v>
      </c>
      <c r="X168" s="4" t="s">
        <v>61</v>
      </c>
      <c r="Y168" s="5">
        <v>2</v>
      </c>
    </row>
    <row r="169" spans="1:25" ht="15" thickBot="1" x14ac:dyDescent="0.35">
      <c r="A169" s="3">
        <v>14313</v>
      </c>
      <c r="B169" s="4" t="s">
        <v>100</v>
      </c>
      <c r="C169" s="4" t="s">
        <v>33</v>
      </c>
      <c r="D169" s="5">
        <v>10</v>
      </c>
      <c r="E169" s="5">
        <v>47</v>
      </c>
      <c r="F169" s="5">
        <v>30</v>
      </c>
      <c r="G169" s="5">
        <v>17</v>
      </c>
      <c r="H169" s="5">
        <v>0</v>
      </c>
      <c r="I169" s="5">
        <v>36</v>
      </c>
      <c r="J169" s="5">
        <v>15</v>
      </c>
      <c r="K169" s="5">
        <v>21</v>
      </c>
      <c r="L169" s="5">
        <v>0</v>
      </c>
      <c r="M169" s="5">
        <v>43</v>
      </c>
      <c r="N169" s="5">
        <v>26</v>
      </c>
      <c r="O169" s="5">
        <v>17</v>
      </c>
      <c r="P169" s="5">
        <v>0</v>
      </c>
      <c r="Q169" s="5">
        <v>12</v>
      </c>
      <c r="R169" s="5">
        <v>8</v>
      </c>
      <c r="S169" s="5">
        <v>4</v>
      </c>
      <c r="T169" s="5">
        <v>0</v>
      </c>
      <c r="U169" s="5">
        <v>138</v>
      </c>
      <c r="V169" s="4" t="s">
        <v>52</v>
      </c>
      <c r="W169" s="4" t="s">
        <v>33</v>
      </c>
      <c r="X169" s="4" t="s">
        <v>67</v>
      </c>
      <c r="Y169" s="5">
        <v>4</v>
      </c>
    </row>
    <row r="170" spans="1:25" ht="15" thickBot="1" x14ac:dyDescent="0.35">
      <c r="A170" s="3">
        <v>14314</v>
      </c>
      <c r="B170" s="4" t="s">
        <v>100</v>
      </c>
      <c r="C170" s="4" t="s">
        <v>44</v>
      </c>
      <c r="D170" s="5">
        <v>16</v>
      </c>
      <c r="E170" s="5">
        <v>19</v>
      </c>
      <c r="F170" s="5">
        <v>11</v>
      </c>
      <c r="G170" s="5">
        <v>8</v>
      </c>
      <c r="H170" s="5">
        <v>0</v>
      </c>
      <c r="I170" s="5">
        <v>18</v>
      </c>
      <c r="J170" s="5">
        <v>4</v>
      </c>
      <c r="K170" s="5">
        <v>14</v>
      </c>
      <c r="L170" s="5">
        <v>0</v>
      </c>
      <c r="M170" s="5">
        <v>3</v>
      </c>
      <c r="N170" s="5">
        <v>3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40</v>
      </c>
      <c r="V170" s="4" t="s">
        <v>52</v>
      </c>
      <c r="W170" s="4" t="s">
        <v>45</v>
      </c>
      <c r="X170" s="4" t="s">
        <v>37</v>
      </c>
      <c r="Y170" s="5">
        <v>1</v>
      </c>
    </row>
    <row r="171" spans="1:25" ht="15" thickBot="1" x14ac:dyDescent="0.35">
      <c r="A171" s="3">
        <v>14315</v>
      </c>
      <c r="B171" s="4" t="s">
        <v>100</v>
      </c>
      <c r="C171" s="4" t="s">
        <v>38</v>
      </c>
      <c r="D171" s="5">
        <v>22</v>
      </c>
      <c r="E171" s="5">
        <v>26</v>
      </c>
      <c r="F171" s="5">
        <v>15</v>
      </c>
      <c r="G171" s="5">
        <v>11</v>
      </c>
      <c r="H171" s="5">
        <v>0</v>
      </c>
      <c r="I171" s="5">
        <v>36</v>
      </c>
      <c r="J171" s="5">
        <v>17</v>
      </c>
      <c r="K171" s="5">
        <v>19</v>
      </c>
      <c r="L171" s="5">
        <v>0</v>
      </c>
      <c r="M171" s="5">
        <v>78</v>
      </c>
      <c r="N171" s="5">
        <v>57</v>
      </c>
      <c r="O171" s="5">
        <v>21</v>
      </c>
      <c r="P171" s="5">
        <v>0</v>
      </c>
      <c r="Q171" s="5">
        <v>37</v>
      </c>
      <c r="R171" s="5">
        <v>19</v>
      </c>
      <c r="S171" s="5">
        <v>18</v>
      </c>
      <c r="T171" s="5">
        <v>0</v>
      </c>
      <c r="U171" s="5">
        <v>177</v>
      </c>
      <c r="V171" s="4" t="s">
        <v>52</v>
      </c>
      <c r="W171" s="4" t="s">
        <v>39</v>
      </c>
      <c r="X171" s="4" t="s">
        <v>40</v>
      </c>
      <c r="Y171" s="5">
        <v>4</v>
      </c>
    </row>
    <row r="172" spans="1:25" ht="15" thickBot="1" x14ac:dyDescent="0.35">
      <c r="A172" s="3">
        <v>14316</v>
      </c>
      <c r="B172" s="4" t="s">
        <v>100</v>
      </c>
      <c r="C172" s="4" t="s">
        <v>29</v>
      </c>
      <c r="D172" s="5">
        <v>31</v>
      </c>
      <c r="E172" s="5">
        <v>38</v>
      </c>
      <c r="F172" s="5">
        <v>17</v>
      </c>
      <c r="G172" s="5">
        <v>21</v>
      </c>
      <c r="H172" s="5">
        <v>0</v>
      </c>
      <c r="I172" s="5">
        <v>27</v>
      </c>
      <c r="J172" s="5">
        <v>14</v>
      </c>
      <c r="K172" s="5">
        <v>13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65</v>
      </c>
      <c r="V172" s="4" t="s">
        <v>52</v>
      </c>
      <c r="W172" s="4" t="s">
        <v>55</v>
      </c>
      <c r="X172" s="4" t="s">
        <v>61</v>
      </c>
      <c r="Y172" s="5">
        <v>1</v>
      </c>
    </row>
    <row r="173" spans="1:25" ht="15" thickBot="1" x14ac:dyDescent="0.35">
      <c r="A173" s="3">
        <v>1808</v>
      </c>
      <c r="B173" s="4" t="s">
        <v>103</v>
      </c>
      <c r="C173" s="4" t="s">
        <v>35</v>
      </c>
      <c r="D173" s="5">
        <v>25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4" t="s">
        <v>26</v>
      </c>
      <c r="W173" s="4" t="s">
        <v>36</v>
      </c>
      <c r="X173" s="4" t="s">
        <v>37</v>
      </c>
      <c r="Y173" s="5">
        <v>1</v>
      </c>
    </row>
    <row r="174" spans="1:25" ht="15" thickBot="1" x14ac:dyDescent="0.35">
      <c r="A174" s="3">
        <v>1809</v>
      </c>
      <c r="B174" s="4" t="s">
        <v>103</v>
      </c>
      <c r="C174" s="4" t="s">
        <v>25</v>
      </c>
      <c r="D174" s="5">
        <v>34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4" t="s">
        <v>26</v>
      </c>
      <c r="W174" s="4" t="s">
        <v>92</v>
      </c>
      <c r="X174" s="6" t="s">
        <v>28</v>
      </c>
      <c r="Y174" s="5">
        <v>2</v>
      </c>
    </row>
    <row r="175" spans="1:25" ht="15" thickBot="1" x14ac:dyDescent="0.35">
      <c r="A175" s="3">
        <v>1810</v>
      </c>
      <c r="B175" s="4" t="s">
        <v>103</v>
      </c>
      <c r="C175" s="4" t="s">
        <v>38</v>
      </c>
      <c r="D175" s="5">
        <v>22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41</v>
      </c>
      <c r="N175" s="5">
        <v>34</v>
      </c>
      <c r="O175" s="5">
        <v>7</v>
      </c>
      <c r="P175" s="5">
        <v>0</v>
      </c>
      <c r="Q175" s="5">
        <v>20</v>
      </c>
      <c r="R175" s="5">
        <v>12</v>
      </c>
      <c r="S175" s="5">
        <v>8</v>
      </c>
      <c r="T175" s="5">
        <v>0</v>
      </c>
      <c r="U175" s="5">
        <v>61</v>
      </c>
      <c r="V175" s="4" t="s">
        <v>26</v>
      </c>
      <c r="W175" s="4" t="s">
        <v>39</v>
      </c>
      <c r="X175" s="4" t="s">
        <v>57</v>
      </c>
      <c r="Y175" s="5">
        <v>3</v>
      </c>
    </row>
    <row r="176" spans="1:25" ht="15" thickBot="1" x14ac:dyDescent="0.35">
      <c r="A176" s="3">
        <v>1811</v>
      </c>
      <c r="B176" s="4" t="s">
        <v>103</v>
      </c>
      <c r="C176" s="4" t="s">
        <v>35</v>
      </c>
      <c r="D176" s="5">
        <v>25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4" t="s">
        <v>26</v>
      </c>
      <c r="W176" s="4" t="s">
        <v>36</v>
      </c>
      <c r="X176" s="4" t="s">
        <v>37</v>
      </c>
      <c r="Y176" s="5">
        <v>1</v>
      </c>
    </row>
    <row r="177" spans="1:25" ht="15" thickBot="1" x14ac:dyDescent="0.35">
      <c r="A177" s="3">
        <v>1812</v>
      </c>
      <c r="B177" s="4" t="s">
        <v>103</v>
      </c>
      <c r="C177" s="4" t="s">
        <v>25</v>
      </c>
      <c r="D177" s="5">
        <v>34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4" t="s">
        <v>26</v>
      </c>
      <c r="W177" s="4" t="s">
        <v>43</v>
      </c>
      <c r="X177" s="6" t="s">
        <v>28</v>
      </c>
      <c r="Y177" s="5">
        <v>1</v>
      </c>
    </row>
    <row r="178" spans="1:25" ht="15" thickBot="1" x14ac:dyDescent="0.35">
      <c r="A178" s="3">
        <v>3528</v>
      </c>
      <c r="B178" s="4" t="s">
        <v>103</v>
      </c>
      <c r="C178" s="4" t="s">
        <v>38</v>
      </c>
      <c r="D178" s="5">
        <v>22</v>
      </c>
      <c r="E178" s="5">
        <v>0</v>
      </c>
      <c r="F178" s="5">
        <v>0</v>
      </c>
      <c r="G178" s="5">
        <v>0</v>
      </c>
      <c r="H178" s="5">
        <v>0</v>
      </c>
      <c r="I178" s="5">
        <v>1</v>
      </c>
      <c r="J178" s="5">
        <v>1</v>
      </c>
      <c r="K178" s="5">
        <v>0</v>
      </c>
      <c r="L178" s="5">
        <v>0</v>
      </c>
      <c r="M178" s="5">
        <v>37</v>
      </c>
      <c r="N178" s="5">
        <v>24</v>
      </c>
      <c r="O178" s="5">
        <v>13</v>
      </c>
      <c r="P178" s="5">
        <v>0</v>
      </c>
      <c r="Q178" s="5">
        <v>6</v>
      </c>
      <c r="R178" s="5">
        <v>2</v>
      </c>
      <c r="S178" s="5">
        <v>4</v>
      </c>
      <c r="T178" s="5">
        <v>0</v>
      </c>
      <c r="U178" s="5">
        <v>44</v>
      </c>
      <c r="V178" s="4" t="s">
        <v>26</v>
      </c>
      <c r="W178" s="4" t="s">
        <v>39</v>
      </c>
      <c r="X178" s="4" t="s">
        <v>57</v>
      </c>
      <c r="Y178" s="5">
        <v>3</v>
      </c>
    </row>
    <row r="179" spans="1:25" ht="15" thickBot="1" x14ac:dyDescent="0.35">
      <c r="A179" s="3">
        <v>3529</v>
      </c>
      <c r="B179" s="4" t="s">
        <v>103</v>
      </c>
      <c r="C179" s="4" t="s">
        <v>35</v>
      </c>
      <c r="D179" s="5">
        <v>25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1</v>
      </c>
      <c r="N179" s="5">
        <v>1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1</v>
      </c>
      <c r="V179" s="4" t="s">
        <v>26</v>
      </c>
      <c r="W179" s="4" t="s">
        <v>36</v>
      </c>
      <c r="X179" s="4" t="s">
        <v>37</v>
      </c>
      <c r="Y179" s="5">
        <v>2</v>
      </c>
    </row>
    <row r="180" spans="1:25" ht="15" thickBot="1" x14ac:dyDescent="0.35">
      <c r="A180" s="3">
        <v>5380</v>
      </c>
      <c r="B180" s="4" t="s">
        <v>103</v>
      </c>
      <c r="C180" s="4" t="s">
        <v>38</v>
      </c>
      <c r="D180" s="5">
        <v>22</v>
      </c>
      <c r="E180" s="5">
        <v>0</v>
      </c>
      <c r="F180" s="5">
        <v>0</v>
      </c>
      <c r="G180" s="5">
        <v>0</v>
      </c>
      <c r="H180" s="5">
        <v>0</v>
      </c>
      <c r="I180" s="5">
        <v>3</v>
      </c>
      <c r="J180" s="5">
        <v>3</v>
      </c>
      <c r="K180" s="5">
        <v>0</v>
      </c>
      <c r="L180" s="5">
        <v>0</v>
      </c>
      <c r="M180" s="5">
        <v>52</v>
      </c>
      <c r="N180" s="5">
        <v>44</v>
      </c>
      <c r="O180" s="5">
        <v>8</v>
      </c>
      <c r="P180" s="5">
        <v>0</v>
      </c>
      <c r="Q180" s="5">
        <v>6</v>
      </c>
      <c r="R180" s="5">
        <v>3</v>
      </c>
      <c r="S180" s="5">
        <v>3</v>
      </c>
      <c r="T180" s="5">
        <v>0</v>
      </c>
      <c r="U180" s="5">
        <v>61</v>
      </c>
      <c r="V180" s="4" t="s">
        <v>26</v>
      </c>
      <c r="W180" s="4" t="s">
        <v>39</v>
      </c>
      <c r="X180" s="4" t="s">
        <v>57</v>
      </c>
      <c r="Y180" s="5">
        <v>4</v>
      </c>
    </row>
    <row r="181" spans="1:25" ht="15" thickBot="1" x14ac:dyDescent="0.35">
      <c r="A181" s="3">
        <v>5381</v>
      </c>
      <c r="B181" s="4" t="s">
        <v>103</v>
      </c>
      <c r="C181" s="4" t="s">
        <v>35</v>
      </c>
      <c r="D181" s="5">
        <v>25</v>
      </c>
      <c r="E181" s="5">
        <v>0</v>
      </c>
      <c r="F181" s="5">
        <v>0</v>
      </c>
      <c r="G181" s="5">
        <v>0</v>
      </c>
      <c r="H181" s="5">
        <v>0</v>
      </c>
      <c r="I181" s="5">
        <v>1</v>
      </c>
      <c r="J181" s="5">
        <v>1</v>
      </c>
      <c r="K181" s="5">
        <v>0</v>
      </c>
      <c r="L181" s="5">
        <v>0</v>
      </c>
      <c r="M181" s="5">
        <v>8</v>
      </c>
      <c r="N181" s="5">
        <v>8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9</v>
      </c>
      <c r="V181" s="4" t="s">
        <v>26</v>
      </c>
      <c r="W181" s="4" t="s">
        <v>36</v>
      </c>
      <c r="X181" s="4" t="s">
        <v>37</v>
      </c>
      <c r="Y181" s="5">
        <v>1</v>
      </c>
    </row>
    <row r="182" spans="1:25" ht="15" thickBot="1" x14ac:dyDescent="0.35">
      <c r="A182" s="3">
        <v>7399</v>
      </c>
      <c r="B182" s="4" t="s">
        <v>103</v>
      </c>
      <c r="C182" s="4" t="s">
        <v>33</v>
      </c>
      <c r="D182" s="5">
        <v>10</v>
      </c>
      <c r="E182" s="5">
        <v>0</v>
      </c>
      <c r="F182" s="5">
        <v>0</v>
      </c>
      <c r="G182" s="5">
        <v>0</v>
      </c>
      <c r="H182" s="5">
        <v>0</v>
      </c>
      <c r="I182" s="5">
        <v>24</v>
      </c>
      <c r="J182" s="5">
        <v>14</v>
      </c>
      <c r="K182" s="5">
        <v>10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24</v>
      </c>
      <c r="V182" s="4" t="s">
        <v>26</v>
      </c>
      <c r="W182" s="4" t="s">
        <v>33</v>
      </c>
      <c r="X182" s="4" t="s">
        <v>104</v>
      </c>
      <c r="Y182" s="5">
        <v>2</v>
      </c>
    </row>
    <row r="183" spans="1:25" ht="15" thickBot="1" x14ac:dyDescent="0.35">
      <c r="A183" s="3">
        <v>7400</v>
      </c>
      <c r="B183" s="4" t="s">
        <v>103</v>
      </c>
      <c r="C183" s="4" t="s">
        <v>44</v>
      </c>
      <c r="D183" s="5">
        <v>16</v>
      </c>
      <c r="E183" s="5">
        <v>0</v>
      </c>
      <c r="F183" s="5">
        <v>0</v>
      </c>
      <c r="G183" s="5">
        <v>0</v>
      </c>
      <c r="H183" s="5">
        <v>0</v>
      </c>
      <c r="I183" s="5">
        <v>18</v>
      </c>
      <c r="J183" s="5">
        <v>9</v>
      </c>
      <c r="K183" s="5">
        <v>9</v>
      </c>
      <c r="L183" s="5">
        <v>0</v>
      </c>
      <c r="M183" s="5">
        <v>39</v>
      </c>
      <c r="N183" s="5">
        <v>39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57</v>
      </c>
      <c r="V183" s="4" t="s">
        <v>26</v>
      </c>
      <c r="W183" s="4" t="s">
        <v>45</v>
      </c>
      <c r="X183" s="4" t="s">
        <v>37</v>
      </c>
      <c r="Y183" s="5">
        <v>2</v>
      </c>
    </row>
    <row r="184" spans="1:25" ht="15" thickBot="1" x14ac:dyDescent="0.35">
      <c r="A184" s="3">
        <v>7401</v>
      </c>
      <c r="B184" s="4" t="s">
        <v>103</v>
      </c>
      <c r="C184" s="4" t="s">
        <v>38</v>
      </c>
      <c r="D184" s="5">
        <v>22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26</v>
      </c>
      <c r="N184" s="5">
        <v>20</v>
      </c>
      <c r="O184" s="5">
        <v>6</v>
      </c>
      <c r="P184" s="5">
        <v>0</v>
      </c>
      <c r="Q184" s="5">
        <v>3</v>
      </c>
      <c r="R184" s="5">
        <v>0</v>
      </c>
      <c r="S184" s="5">
        <v>3</v>
      </c>
      <c r="T184" s="5">
        <v>0</v>
      </c>
      <c r="U184" s="5">
        <v>29</v>
      </c>
      <c r="V184" s="4" t="s">
        <v>26</v>
      </c>
      <c r="W184" s="4" t="s">
        <v>39</v>
      </c>
      <c r="X184" s="4" t="s">
        <v>57</v>
      </c>
      <c r="Y184" s="5">
        <v>3</v>
      </c>
    </row>
    <row r="185" spans="1:25" ht="15" thickBot="1" x14ac:dyDescent="0.35">
      <c r="A185" s="3">
        <v>7402</v>
      </c>
      <c r="B185" s="4" t="s">
        <v>103</v>
      </c>
      <c r="C185" s="4" t="s">
        <v>35</v>
      </c>
      <c r="D185" s="5">
        <v>25</v>
      </c>
      <c r="E185" s="5">
        <v>2</v>
      </c>
      <c r="F185" s="5">
        <v>2</v>
      </c>
      <c r="G185" s="5">
        <v>0</v>
      </c>
      <c r="H185" s="5">
        <v>0</v>
      </c>
      <c r="I185" s="5">
        <v>50</v>
      </c>
      <c r="J185" s="5">
        <v>26</v>
      </c>
      <c r="K185" s="5">
        <v>24</v>
      </c>
      <c r="L185" s="5">
        <v>0</v>
      </c>
      <c r="M185" s="5">
        <v>12</v>
      </c>
      <c r="N185" s="5">
        <v>8</v>
      </c>
      <c r="O185" s="5">
        <v>4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64</v>
      </c>
      <c r="V185" s="4" t="s">
        <v>26</v>
      </c>
      <c r="W185" s="4" t="s">
        <v>36</v>
      </c>
      <c r="X185" s="4" t="s">
        <v>37</v>
      </c>
      <c r="Y185" s="5">
        <v>2</v>
      </c>
    </row>
    <row r="186" spans="1:25" ht="15" thickBot="1" x14ac:dyDescent="0.35">
      <c r="A186" s="3">
        <v>7403</v>
      </c>
      <c r="B186" s="4" t="s">
        <v>103</v>
      </c>
      <c r="C186" s="4" t="s">
        <v>29</v>
      </c>
      <c r="D186" s="5">
        <v>31</v>
      </c>
      <c r="E186" s="5">
        <v>55</v>
      </c>
      <c r="F186" s="5">
        <v>27</v>
      </c>
      <c r="G186" s="5">
        <v>28</v>
      </c>
      <c r="H186" s="5">
        <v>0</v>
      </c>
      <c r="I186" s="5">
        <v>12</v>
      </c>
      <c r="J186" s="5">
        <v>10</v>
      </c>
      <c r="K186" s="5">
        <v>2</v>
      </c>
      <c r="L186" s="5">
        <v>0</v>
      </c>
      <c r="M186" s="5">
        <v>23</v>
      </c>
      <c r="N186" s="5">
        <v>20</v>
      </c>
      <c r="O186" s="5">
        <v>3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90</v>
      </c>
      <c r="V186" s="4" t="s">
        <v>26</v>
      </c>
      <c r="W186" s="4" t="s">
        <v>55</v>
      </c>
      <c r="X186" s="4" t="s">
        <v>61</v>
      </c>
      <c r="Y186" s="5">
        <v>1</v>
      </c>
    </row>
    <row r="187" spans="1:25" ht="15" thickBot="1" x14ac:dyDescent="0.35">
      <c r="A187" s="3">
        <v>9474</v>
      </c>
      <c r="B187" s="4" t="s">
        <v>103</v>
      </c>
      <c r="C187" s="4" t="s">
        <v>33</v>
      </c>
      <c r="D187" s="5">
        <v>10</v>
      </c>
      <c r="E187" s="5">
        <v>0</v>
      </c>
      <c r="F187" s="5">
        <v>0</v>
      </c>
      <c r="G187" s="5">
        <v>0</v>
      </c>
      <c r="H187" s="5">
        <v>0</v>
      </c>
      <c r="I187" s="5">
        <v>35</v>
      </c>
      <c r="J187" s="5">
        <v>20</v>
      </c>
      <c r="K187" s="5">
        <v>15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35</v>
      </c>
      <c r="V187" s="4" t="s">
        <v>26</v>
      </c>
      <c r="W187" s="4" t="s">
        <v>33</v>
      </c>
      <c r="X187" s="4" t="s">
        <v>104</v>
      </c>
      <c r="Y187" s="5">
        <v>2</v>
      </c>
    </row>
    <row r="188" spans="1:25" ht="15" thickBot="1" x14ac:dyDescent="0.35">
      <c r="A188" s="3">
        <v>9475</v>
      </c>
      <c r="B188" s="4" t="s">
        <v>103</v>
      </c>
      <c r="C188" s="4" t="s">
        <v>44</v>
      </c>
      <c r="D188" s="5">
        <v>16</v>
      </c>
      <c r="E188" s="5">
        <v>0</v>
      </c>
      <c r="F188" s="5">
        <v>0</v>
      </c>
      <c r="G188" s="5">
        <v>0</v>
      </c>
      <c r="H188" s="5">
        <v>0</v>
      </c>
      <c r="I188" s="5">
        <v>21</v>
      </c>
      <c r="J188" s="5">
        <v>12</v>
      </c>
      <c r="K188" s="5">
        <v>9</v>
      </c>
      <c r="L188" s="5">
        <v>0</v>
      </c>
      <c r="M188" s="5">
        <v>38</v>
      </c>
      <c r="N188" s="5">
        <v>35</v>
      </c>
      <c r="O188" s="5">
        <v>3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59</v>
      </c>
      <c r="V188" s="4" t="s">
        <v>26</v>
      </c>
      <c r="W188" s="4" t="s">
        <v>45</v>
      </c>
      <c r="X188" s="4" t="s">
        <v>37</v>
      </c>
      <c r="Y188" s="5">
        <v>2</v>
      </c>
    </row>
    <row r="189" spans="1:25" ht="15" thickBot="1" x14ac:dyDescent="0.35">
      <c r="A189" s="3">
        <v>9476</v>
      </c>
      <c r="B189" s="4" t="s">
        <v>103</v>
      </c>
      <c r="C189" s="4" t="s">
        <v>38</v>
      </c>
      <c r="D189" s="5">
        <v>22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41</v>
      </c>
      <c r="N189" s="5">
        <v>31</v>
      </c>
      <c r="O189" s="5">
        <v>10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41</v>
      </c>
      <c r="V189" s="4" t="s">
        <v>26</v>
      </c>
      <c r="W189" s="4" t="s">
        <v>39</v>
      </c>
      <c r="X189" s="4" t="s">
        <v>57</v>
      </c>
      <c r="Y189" s="5">
        <v>4</v>
      </c>
    </row>
    <row r="190" spans="1:25" ht="15" thickBot="1" x14ac:dyDescent="0.35">
      <c r="A190" s="3">
        <v>9477</v>
      </c>
      <c r="B190" s="4" t="s">
        <v>103</v>
      </c>
      <c r="C190" s="4" t="s">
        <v>35</v>
      </c>
      <c r="D190" s="5">
        <v>25</v>
      </c>
      <c r="E190" s="5">
        <v>0</v>
      </c>
      <c r="F190" s="5">
        <v>0</v>
      </c>
      <c r="G190" s="5">
        <v>0</v>
      </c>
      <c r="H190" s="5">
        <v>0</v>
      </c>
      <c r="I190" s="5">
        <v>11</v>
      </c>
      <c r="J190" s="5">
        <v>7</v>
      </c>
      <c r="K190" s="5">
        <v>4</v>
      </c>
      <c r="L190" s="5">
        <v>0</v>
      </c>
      <c r="M190" s="5">
        <v>7</v>
      </c>
      <c r="N190" s="5">
        <v>7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18</v>
      </c>
      <c r="V190" s="4" t="s">
        <v>26</v>
      </c>
      <c r="W190" s="4" t="s">
        <v>36</v>
      </c>
      <c r="X190" s="4" t="s">
        <v>37</v>
      </c>
      <c r="Y190" s="5">
        <v>1</v>
      </c>
    </row>
    <row r="191" spans="1:25" ht="15" thickBot="1" x14ac:dyDescent="0.35">
      <c r="A191" s="3">
        <v>11588</v>
      </c>
      <c r="B191" s="4" t="s">
        <v>103</v>
      </c>
      <c r="C191" s="4" t="s">
        <v>33</v>
      </c>
      <c r="D191" s="5">
        <v>10</v>
      </c>
      <c r="E191" s="5">
        <v>0</v>
      </c>
      <c r="F191" s="5">
        <v>0</v>
      </c>
      <c r="G191" s="5">
        <v>0</v>
      </c>
      <c r="H191" s="5">
        <v>0</v>
      </c>
      <c r="I191" s="5">
        <v>69</v>
      </c>
      <c r="J191" s="5">
        <v>38</v>
      </c>
      <c r="K191" s="5">
        <v>31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69</v>
      </c>
      <c r="V191" s="4" t="s">
        <v>26</v>
      </c>
      <c r="W191" s="4" t="s">
        <v>33</v>
      </c>
      <c r="X191" s="4" t="s">
        <v>104</v>
      </c>
      <c r="Y191" s="5">
        <v>2</v>
      </c>
    </row>
    <row r="192" spans="1:25" ht="15" thickBot="1" x14ac:dyDescent="0.35">
      <c r="A192" s="3">
        <v>11589</v>
      </c>
      <c r="B192" s="4" t="s">
        <v>103</v>
      </c>
      <c r="C192" s="4" t="s">
        <v>44</v>
      </c>
      <c r="D192" s="5">
        <v>16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15</v>
      </c>
      <c r="N192" s="5">
        <v>15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15</v>
      </c>
      <c r="V192" s="4" t="s">
        <v>26</v>
      </c>
      <c r="W192" s="4" t="s">
        <v>45</v>
      </c>
      <c r="X192" s="4" t="s">
        <v>37</v>
      </c>
      <c r="Y192" s="5">
        <v>1</v>
      </c>
    </row>
    <row r="193" spans="1:25" ht="15" thickBot="1" x14ac:dyDescent="0.35">
      <c r="A193" s="3">
        <v>11590</v>
      </c>
      <c r="B193" s="4" t="s">
        <v>103</v>
      </c>
      <c r="C193" s="4" t="s">
        <v>38</v>
      </c>
      <c r="D193" s="5">
        <v>22</v>
      </c>
      <c r="E193" s="5">
        <v>0</v>
      </c>
      <c r="F193" s="5">
        <v>0</v>
      </c>
      <c r="G193" s="5">
        <v>0</v>
      </c>
      <c r="H193" s="5">
        <v>0</v>
      </c>
      <c r="I193" s="5">
        <v>2</v>
      </c>
      <c r="J193" s="5">
        <v>1</v>
      </c>
      <c r="K193" s="5">
        <v>1</v>
      </c>
      <c r="L193" s="5">
        <v>0</v>
      </c>
      <c r="M193" s="5">
        <v>59</v>
      </c>
      <c r="N193" s="5">
        <v>27</v>
      </c>
      <c r="O193" s="5">
        <v>32</v>
      </c>
      <c r="P193" s="5">
        <v>0</v>
      </c>
      <c r="Q193" s="5">
        <v>4</v>
      </c>
      <c r="R193" s="5">
        <v>4</v>
      </c>
      <c r="S193" s="5">
        <v>0</v>
      </c>
      <c r="T193" s="5">
        <v>0</v>
      </c>
      <c r="U193" s="5">
        <v>65</v>
      </c>
      <c r="V193" s="4" t="s">
        <v>26</v>
      </c>
      <c r="W193" s="4" t="s">
        <v>39</v>
      </c>
      <c r="X193" s="4" t="s">
        <v>57</v>
      </c>
      <c r="Y193" s="5">
        <v>3</v>
      </c>
    </row>
    <row r="194" spans="1:25" ht="15" thickBot="1" x14ac:dyDescent="0.35">
      <c r="A194" s="3">
        <v>11591</v>
      </c>
      <c r="B194" s="4" t="s">
        <v>103</v>
      </c>
      <c r="C194" s="4" t="s">
        <v>35</v>
      </c>
      <c r="D194" s="5">
        <v>25</v>
      </c>
      <c r="E194" s="5">
        <v>0</v>
      </c>
      <c r="F194" s="5">
        <v>0</v>
      </c>
      <c r="G194" s="5">
        <v>0</v>
      </c>
      <c r="H194" s="5">
        <v>0</v>
      </c>
      <c r="I194" s="5">
        <v>5</v>
      </c>
      <c r="J194" s="5">
        <v>5</v>
      </c>
      <c r="K194" s="5">
        <v>0</v>
      </c>
      <c r="L194" s="5">
        <v>0</v>
      </c>
      <c r="M194" s="5">
        <v>4</v>
      </c>
      <c r="N194" s="5">
        <v>3</v>
      </c>
      <c r="O194" s="5">
        <v>1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9</v>
      </c>
      <c r="V194" s="4" t="s">
        <v>26</v>
      </c>
      <c r="W194" s="4" t="s">
        <v>36</v>
      </c>
      <c r="X194" s="4" t="s">
        <v>37</v>
      </c>
      <c r="Y194" s="5">
        <v>1</v>
      </c>
    </row>
    <row r="195" spans="1:25" ht="15" thickBot="1" x14ac:dyDescent="0.35">
      <c r="A195" s="3">
        <v>11592</v>
      </c>
      <c r="B195" s="4" t="s">
        <v>103</v>
      </c>
      <c r="C195" s="4" t="s">
        <v>29</v>
      </c>
      <c r="D195" s="5">
        <v>31</v>
      </c>
      <c r="E195" s="5">
        <v>134</v>
      </c>
      <c r="F195" s="5">
        <v>71</v>
      </c>
      <c r="G195" s="5">
        <v>63</v>
      </c>
      <c r="H195" s="5">
        <v>0</v>
      </c>
      <c r="I195" s="5">
        <v>37</v>
      </c>
      <c r="J195" s="5">
        <v>25</v>
      </c>
      <c r="K195" s="5">
        <v>12</v>
      </c>
      <c r="L195" s="5">
        <v>0</v>
      </c>
      <c r="M195" s="5">
        <v>39</v>
      </c>
      <c r="N195" s="5">
        <v>36</v>
      </c>
      <c r="O195" s="5">
        <v>3</v>
      </c>
      <c r="P195" s="5">
        <v>0</v>
      </c>
      <c r="Q195" s="5">
        <v>1</v>
      </c>
      <c r="R195" s="5">
        <v>1</v>
      </c>
      <c r="S195" s="5">
        <v>0</v>
      </c>
      <c r="T195" s="5">
        <v>0</v>
      </c>
      <c r="U195" s="5">
        <v>211</v>
      </c>
      <c r="V195" s="4" t="s">
        <v>26</v>
      </c>
      <c r="W195" s="4" t="s">
        <v>55</v>
      </c>
      <c r="X195" s="4" t="s">
        <v>61</v>
      </c>
      <c r="Y195" s="5">
        <v>5</v>
      </c>
    </row>
    <row r="196" spans="1:25" ht="15" thickBot="1" x14ac:dyDescent="0.35">
      <c r="A196" s="3">
        <v>13659</v>
      </c>
      <c r="B196" s="4" t="s">
        <v>103</v>
      </c>
      <c r="C196" s="4" t="s">
        <v>33</v>
      </c>
      <c r="D196" s="5">
        <v>10</v>
      </c>
      <c r="E196" s="5">
        <v>0</v>
      </c>
      <c r="F196" s="5">
        <v>0</v>
      </c>
      <c r="G196" s="5">
        <v>0</v>
      </c>
      <c r="H196" s="5">
        <v>0</v>
      </c>
      <c r="I196" s="5">
        <v>145</v>
      </c>
      <c r="J196" s="5">
        <v>45</v>
      </c>
      <c r="K196" s="5">
        <v>100</v>
      </c>
      <c r="L196" s="5">
        <v>0</v>
      </c>
      <c r="M196" s="5">
        <v>15</v>
      </c>
      <c r="N196" s="5">
        <v>10</v>
      </c>
      <c r="O196" s="5">
        <v>5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160</v>
      </c>
      <c r="V196" s="4" t="s">
        <v>26</v>
      </c>
      <c r="W196" s="4" t="s">
        <v>33</v>
      </c>
      <c r="X196" s="4" t="s">
        <v>104</v>
      </c>
      <c r="Y196" s="5">
        <v>2</v>
      </c>
    </row>
    <row r="197" spans="1:25" ht="15" thickBot="1" x14ac:dyDescent="0.35">
      <c r="A197" s="3">
        <v>13660</v>
      </c>
      <c r="B197" s="4" t="s">
        <v>103</v>
      </c>
      <c r="C197" s="4" t="s">
        <v>44</v>
      </c>
      <c r="D197" s="5">
        <v>16</v>
      </c>
      <c r="E197" s="5">
        <v>0</v>
      </c>
      <c r="F197" s="5">
        <v>0</v>
      </c>
      <c r="G197" s="5">
        <v>0</v>
      </c>
      <c r="H197" s="5">
        <v>0</v>
      </c>
      <c r="I197" s="5">
        <v>11</v>
      </c>
      <c r="J197" s="5">
        <v>6</v>
      </c>
      <c r="K197" s="5">
        <v>5</v>
      </c>
      <c r="L197" s="5">
        <v>0</v>
      </c>
      <c r="M197" s="5">
        <v>36</v>
      </c>
      <c r="N197" s="5">
        <v>36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47</v>
      </c>
      <c r="V197" s="4" t="s">
        <v>26</v>
      </c>
      <c r="W197" s="4" t="s">
        <v>45</v>
      </c>
      <c r="X197" s="4" t="s">
        <v>37</v>
      </c>
      <c r="Y197" s="5">
        <v>2</v>
      </c>
    </row>
    <row r="198" spans="1:25" ht="15" thickBot="1" x14ac:dyDescent="0.35">
      <c r="A198" s="3">
        <v>13661</v>
      </c>
      <c r="B198" s="4" t="s">
        <v>103</v>
      </c>
      <c r="C198" s="4" t="s">
        <v>38</v>
      </c>
      <c r="D198" s="5">
        <v>22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86</v>
      </c>
      <c r="N198" s="5">
        <v>60</v>
      </c>
      <c r="O198" s="5">
        <v>26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86</v>
      </c>
      <c r="V198" s="4" t="s">
        <v>26</v>
      </c>
      <c r="W198" s="4" t="s">
        <v>39</v>
      </c>
      <c r="X198" s="4" t="s">
        <v>57</v>
      </c>
      <c r="Y198" s="5">
        <v>3</v>
      </c>
    </row>
    <row r="199" spans="1:25" ht="15" thickBot="1" x14ac:dyDescent="0.35">
      <c r="A199" s="3">
        <v>13662</v>
      </c>
      <c r="B199" s="4" t="s">
        <v>103</v>
      </c>
      <c r="C199" s="4" t="s">
        <v>35</v>
      </c>
      <c r="D199" s="5">
        <v>25</v>
      </c>
      <c r="E199" s="5">
        <v>0</v>
      </c>
      <c r="F199" s="5">
        <v>0</v>
      </c>
      <c r="G199" s="5">
        <v>0</v>
      </c>
      <c r="H199" s="5">
        <v>0</v>
      </c>
      <c r="I199" s="5">
        <v>5</v>
      </c>
      <c r="J199" s="5">
        <v>2</v>
      </c>
      <c r="K199" s="5">
        <v>3</v>
      </c>
      <c r="L199" s="5">
        <v>0</v>
      </c>
      <c r="M199" s="5">
        <v>21</v>
      </c>
      <c r="N199" s="5">
        <v>10</v>
      </c>
      <c r="O199" s="5">
        <v>11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26</v>
      </c>
      <c r="V199" s="4" t="s">
        <v>26</v>
      </c>
      <c r="W199" s="4" t="s">
        <v>36</v>
      </c>
      <c r="X199" s="4" t="s">
        <v>37</v>
      </c>
      <c r="Y199" s="5">
        <v>2</v>
      </c>
    </row>
    <row r="200" spans="1:25" ht="15" thickBot="1" x14ac:dyDescent="0.35">
      <c r="A200" s="3">
        <v>2976</v>
      </c>
      <c r="B200" s="4" t="s">
        <v>105</v>
      </c>
      <c r="C200" s="4" t="s">
        <v>44</v>
      </c>
      <c r="D200" s="5">
        <v>16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9</v>
      </c>
      <c r="N200" s="5">
        <v>9</v>
      </c>
      <c r="O200" s="5">
        <v>0</v>
      </c>
      <c r="P200" s="5">
        <v>0</v>
      </c>
      <c r="Q200" s="5">
        <v>5</v>
      </c>
      <c r="R200" s="5">
        <v>1</v>
      </c>
      <c r="S200" s="5">
        <v>4</v>
      </c>
      <c r="T200" s="5">
        <v>0</v>
      </c>
      <c r="U200" s="5">
        <v>14</v>
      </c>
      <c r="V200" s="4" t="s">
        <v>58</v>
      </c>
      <c r="W200" s="4" t="s">
        <v>45</v>
      </c>
      <c r="X200" s="4" t="s">
        <v>37</v>
      </c>
      <c r="Y200" s="5">
        <v>2</v>
      </c>
    </row>
    <row r="201" spans="1:25" ht="15" thickBot="1" x14ac:dyDescent="0.35">
      <c r="A201" s="3">
        <v>2977</v>
      </c>
      <c r="B201" s="4" t="s">
        <v>105</v>
      </c>
      <c r="C201" s="4" t="s">
        <v>38</v>
      </c>
      <c r="D201" s="5">
        <v>22</v>
      </c>
      <c r="E201" s="5">
        <v>0</v>
      </c>
      <c r="F201" s="5">
        <v>0</v>
      </c>
      <c r="G201" s="5">
        <v>0</v>
      </c>
      <c r="H201" s="5">
        <v>0</v>
      </c>
      <c r="I201" s="5">
        <v>23</v>
      </c>
      <c r="J201" s="5">
        <v>16</v>
      </c>
      <c r="K201" s="5">
        <v>7</v>
      </c>
      <c r="L201" s="5">
        <v>0</v>
      </c>
      <c r="M201" s="5">
        <v>105</v>
      </c>
      <c r="N201" s="5">
        <v>77</v>
      </c>
      <c r="O201" s="5">
        <v>28</v>
      </c>
      <c r="P201" s="5">
        <v>0</v>
      </c>
      <c r="Q201" s="5">
        <v>22</v>
      </c>
      <c r="R201" s="5">
        <v>15</v>
      </c>
      <c r="S201" s="5">
        <v>7</v>
      </c>
      <c r="T201" s="5">
        <v>0</v>
      </c>
      <c r="U201" s="5">
        <v>150</v>
      </c>
      <c r="V201" s="4" t="s">
        <v>58</v>
      </c>
      <c r="W201" s="4" t="s">
        <v>39</v>
      </c>
      <c r="X201" s="4" t="s">
        <v>78</v>
      </c>
      <c r="Y201" s="5">
        <v>2</v>
      </c>
    </row>
    <row r="202" spans="1:25" ht="15" thickBot="1" x14ac:dyDescent="0.35">
      <c r="A202" s="3">
        <v>4735</v>
      </c>
      <c r="B202" s="4" t="s">
        <v>105</v>
      </c>
      <c r="C202" s="4" t="s">
        <v>33</v>
      </c>
      <c r="D202" s="5">
        <v>10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12</v>
      </c>
      <c r="R202" s="5">
        <v>0</v>
      </c>
      <c r="S202" s="5">
        <v>12</v>
      </c>
      <c r="T202" s="5">
        <v>0</v>
      </c>
      <c r="U202" s="5">
        <v>12</v>
      </c>
      <c r="V202" s="4" t="s">
        <v>58</v>
      </c>
      <c r="W202" s="4" t="s">
        <v>33</v>
      </c>
      <c r="X202" s="4" t="s">
        <v>34</v>
      </c>
      <c r="Y202" s="5">
        <v>1</v>
      </c>
    </row>
    <row r="203" spans="1:25" ht="15" thickBot="1" x14ac:dyDescent="0.35">
      <c r="A203" s="3">
        <v>4736</v>
      </c>
      <c r="B203" s="4" t="s">
        <v>105</v>
      </c>
      <c r="C203" s="4" t="s">
        <v>44</v>
      </c>
      <c r="D203" s="5">
        <v>16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430</v>
      </c>
      <c r="N203" s="5">
        <v>235</v>
      </c>
      <c r="O203" s="5">
        <v>195</v>
      </c>
      <c r="P203" s="5">
        <v>0</v>
      </c>
      <c r="Q203" s="5">
        <v>12</v>
      </c>
      <c r="R203" s="5">
        <v>0</v>
      </c>
      <c r="S203" s="5">
        <v>12</v>
      </c>
      <c r="T203" s="5">
        <v>0</v>
      </c>
      <c r="U203" s="5">
        <v>442</v>
      </c>
      <c r="V203" s="4" t="s">
        <v>58</v>
      </c>
      <c r="W203" s="4" t="s">
        <v>45</v>
      </c>
      <c r="X203" s="4" t="s">
        <v>37</v>
      </c>
      <c r="Y203" s="5">
        <v>3</v>
      </c>
    </row>
    <row r="204" spans="1:25" ht="15" thickBot="1" x14ac:dyDescent="0.35">
      <c r="A204" s="3">
        <v>4737</v>
      </c>
      <c r="B204" s="4" t="s">
        <v>105</v>
      </c>
      <c r="C204" s="4" t="s">
        <v>38</v>
      </c>
      <c r="D204" s="5">
        <v>22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69</v>
      </c>
      <c r="N204" s="5">
        <v>46</v>
      </c>
      <c r="O204" s="5">
        <v>23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69</v>
      </c>
      <c r="V204" s="4" t="s">
        <v>58</v>
      </c>
      <c r="W204" s="4" t="s">
        <v>39</v>
      </c>
      <c r="X204" s="4" t="s">
        <v>66</v>
      </c>
      <c r="Y204" s="5">
        <v>1</v>
      </c>
    </row>
    <row r="205" spans="1:25" ht="15" thickBot="1" x14ac:dyDescent="0.35">
      <c r="A205" s="3">
        <v>6701</v>
      </c>
      <c r="B205" s="4" t="s">
        <v>105</v>
      </c>
      <c r="C205" s="4" t="s">
        <v>35</v>
      </c>
      <c r="D205" s="5">
        <v>25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1</v>
      </c>
      <c r="N205" s="5">
        <v>1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</v>
      </c>
      <c r="V205" s="4" t="s">
        <v>58</v>
      </c>
      <c r="W205" s="4" t="s">
        <v>36</v>
      </c>
      <c r="X205" s="4" t="s">
        <v>37</v>
      </c>
      <c r="Y205" s="5">
        <v>1</v>
      </c>
    </row>
    <row r="206" spans="1:25" ht="15" thickBot="1" x14ac:dyDescent="0.35">
      <c r="A206" s="3">
        <v>6702</v>
      </c>
      <c r="B206" s="4" t="s">
        <v>105</v>
      </c>
      <c r="C206" s="4" t="s">
        <v>44</v>
      </c>
      <c r="D206" s="5">
        <v>16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430</v>
      </c>
      <c r="N206" s="5">
        <v>235</v>
      </c>
      <c r="O206" s="5">
        <v>195</v>
      </c>
      <c r="P206" s="5">
        <v>0</v>
      </c>
      <c r="Q206" s="5">
        <v>12</v>
      </c>
      <c r="R206" s="5">
        <v>0</v>
      </c>
      <c r="S206" s="5">
        <v>12</v>
      </c>
      <c r="T206" s="5">
        <v>0</v>
      </c>
      <c r="U206" s="5">
        <v>442</v>
      </c>
      <c r="V206" s="4" t="s">
        <v>58</v>
      </c>
      <c r="W206" s="4" t="s">
        <v>45</v>
      </c>
      <c r="X206" s="4" t="s">
        <v>37</v>
      </c>
      <c r="Y206" s="5">
        <v>4</v>
      </c>
    </row>
    <row r="207" spans="1:25" ht="15" thickBot="1" x14ac:dyDescent="0.35">
      <c r="A207" s="3">
        <v>6703</v>
      </c>
      <c r="B207" s="4" t="s">
        <v>105</v>
      </c>
      <c r="C207" s="4" t="s">
        <v>38</v>
      </c>
      <c r="D207" s="5">
        <v>22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88</v>
      </c>
      <c r="N207" s="5">
        <v>50</v>
      </c>
      <c r="O207" s="5">
        <v>38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88</v>
      </c>
      <c r="V207" s="4" t="s">
        <v>58</v>
      </c>
      <c r="W207" s="4" t="s">
        <v>39</v>
      </c>
      <c r="X207" s="4" t="s">
        <v>66</v>
      </c>
      <c r="Y207" s="5">
        <v>1</v>
      </c>
    </row>
    <row r="208" spans="1:25" ht="15" thickBot="1" x14ac:dyDescent="0.35">
      <c r="A208" s="3">
        <v>8782</v>
      </c>
      <c r="B208" s="4" t="s">
        <v>105</v>
      </c>
      <c r="C208" s="4" t="s">
        <v>44</v>
      </c>
      <c r="D208" s="5">
        <v>16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443</v>
      </c>
      <c r="N208" s="5">
        <v>246</v>
      </c>
      <c r="O208" s="5">
        <v>197</v>
      </c>
      <c r="P208" s="5">
        <v>0</v>
      </c>
      <c r="Q208" s="5">
        <v>12</v>
      </c>
      <c r="R208" s="5">
        <v>0</v>
      </c>
      <c r="S208" s="5">
        <v>12</v>
      </c>
      <c r="T208" s="5">
        <v>0</v>
      </c>
      <c r="U208" s="5">
        <v>455</v>
      </c>
      <c r="V208" s="4" t="s">
        <v>58</v>
      </c>
      <c r="W208" s="4" t="s">
        <v>45</v>
      </c>
      <c r="X208" s="4" t="s">
        <v>37</v>
      </c>
      <c r="Y208" s="5">
        <v>4</v>
      </c>
    </row>
    <row r="209" spans="1:25" ht="15" thickBot="1" x14ac:dyDescent="0.35">
      <c r="A209" s="3">
        <v>10905</v>
      </c>
      <c r="B209" s="4" t="s">
        <v>105</v>
      </c>
      <c r="C209" s="4" t="s">
        <v>74</v>
      </c>
      <c r="D209" s="5">
        <v>19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1505</v>
      </c>
      <c r="N209" s="5">
        <v>753</v>
      </c>
      <c r="O209" s="5">
        <v>752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1505</v>
      </c>
      <c r="V209" s="4" t="s">
        <v>58</v>
      </c>
      <c r="W209" s="4" t="s">
        <v>74</v>
      </c>
      <c r="X209" s="4" t="s">
        <v>37</v>
      </c>
      <c r="Y209" s="5">
        <v>1</v>
      </c>
    </row>
    <row r="210" spans="1:25" ht="15" thickBot="1" x14ac:dyDescent="0.35">
      <c r="A210" s="3">
        <v>10906</v>
      </c>
      <c r="B210" s="4" t="s">
        <v>105</v>
      </c>
      <c r="C210" s="4" t="s">
        <v>25</v>
      </c>
      <c r="D210" s="5">
        <v>34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2</v>
      </c>
      <c r="N210" s="5">
        <v>2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2</v>
      </c>
      <c r="V210" s="4" t="s">
        <v>58</v>
      </c>
      <c r="W210" s="4" t="s">
        <v>92</v>
      </c>
      <c r="X210" s="6" t="s">
        <v>28</v>
      </c>
      <c r="Y210" s="5">
        <v>1</v>
      </c>
    </row>
    <row r="211" spans="1:25" ht="15" thickBot="1" x14ac:dyDescent="0.35">
      <c r="A211" s="3">
        <v>10907</v>
      </c>
      <c r="B211" s="4" t="s">
        <v>105</v>
      </c>
      <c r="C211" s="4" t="s">
        <v>44</v>
      </c>
      <c r="D211" s="5">
        <v>16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219</v>
      </c>
      <c r="N211" s="5">
        <v>117</v>
      </c>
      <c r="O211" s="5">
        <v>102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219</v>
      </c>
      <c r="V211" s="4" t="s">
        <v>58</v>
      </c>
      <c r="W211" s="4" t="s">
        <v>45</v>
      </c>
      <c r="X211" s="4" t="s">
        <v>37</v>
      </c>
      <c r="Y211" s="5">
        <v>3</v>
      </c>
    </row>
    <row r="212" spans="1:25" ht="15" thickBot="1" x14ac:dyDescent="0.35">
      <c r="A212" s="3">
        <v>12992</v>
      </c>
      <c r="B212" s="4" t="s">
        <v>105</v>
      </c>
      <c r="C212" s="4" t="s">
        <v>44</v>
      </c>
      <c r="D212" s="5">
        <v>16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510</v>
      </c>
      <c r="N212" s="5">
        <v>308</v>
      </c>
      <c r="O212" s="5">
        <v>202</v>
      </c>
      <c r="P212" s="5">
        <v>0</v>
      </c>
      <c r="Q212" s="5">
        <v>27</v>
      </c>
      <c r="R212" s="5">
        <v>27</v>
      </c>
      <c r="S212" s="5">
        <v>0</v>
      </c>
      <c r="T212" s="5">
        <v>0</v>
      </c>
      <c r="U212" s="5">
        <v>537</v>
      </c>
      <c r="V212" s="4" t="s">
        <v>58</v>
      </c>
      <c r="W212" s="4" t="s">
        <v>45</v>
      </c>
      <c r="X212" s="4" t="s">
        <v>37</v>
      </c>
      <c r="Y212" s="5">
        <v>3</v>
      </c>
    </row>
    <row r="213" spans="1:25" ht="15" thickBot="1" x14ac:dyDescent="0.35">
      <c r="A213" s="3">
        <v>469</v>
      </c>
      <c r="B213" s="4" t="s">
        <v>53</v>
      </c>
      <c r="C213" s="4" t="s">
        <v>38</v>
      </c>
      <c r="D213" s="5">
        <v>22</v>
      </c>
      <c r="E213" s="5">
        <v>0</v>
      </c>
      <c r="F213" s="5">
        <v>0</v>
      </c>
      <c r="G213" s="5">
        <v>0</v>
      </c>
      <c r="H213" s="5">
        <v>0</v>
      </c>
      <c r="I213" s="5">
        <v>23</v>
      </c>
      <c r="J213" s="5">
        <v>16</v>
      </c>
      <c r="K213" s="5">
        <v>7</v>
      </c>
      <c r="L213" s="5">
        <v>0</v>
      </c>
      <c r="M213" s="5">
        <v>156</v>
      </c>
      <c r="N213" s="5">
        <v>105</v>
      </c>
      <c r="O213" s="5">
        <v>51</v>
      </c>
      <c r="P213" s="5">
        <v>0</v>
      </c>
      <c r="Q213" s="5">
        <v>48</v>
      </c>
      <c r="R213" s="5">
        <v>32</v>
      </c>
      <c r="S213" s="5">
        <v>16</v>
      </c>
      <c r="T213" s="5">
        <v>0</v>
      </c>
      <c r="U213" s="5">
        <v>227</v>
      </c>
      <c r="V213" s="4" t="s">
        <v>54</v>
      </c>
      <c r="W213" s="4" t="s">
        <v>39</v>
      </c>
      <c r="X213" s="4" t="s">
        <v>57</v>
      </c>
      <c r="Y213" s="5">
        <v>10</v>
      </c>
    </row>
    <row r="214" spans="1:25" ht="15" thickBot="1" x14ac:dyDescent="0.35">
      <c r="A214" s="3">
        <v>470</v>
      </c>
      <c r="B214" s="4" t="s">
        <v>53</v>
      </c>
      <c r="C214" s="4" t="s">
        <v>29</v>
      </c>
      <c r="D214" s="5">
        <v>31</v>
      </c>
      <c r="E214" s="5">
        <v>152</v>
      </c>
      <c r="F214" s="5">
        <v>84</v>
      </c>
      <c r="G214" s="5">
        <v>68</v>
      </c>
      <c r="H214" s="5">
        <v>0</v>
      </c>
      <c r="I214" s="5">
        <v>10</v>
      </c>
      <c r="J214" s="5">
        <v>7</v>
      </c>
      <c r="K214" s="5">
        <v>3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162</v>
      </c>
      <c r="V214" s="4" t="s">
        <v>54</v>
      </c>
      <c r="W214" s="4" t="s">
        <v>55</v>
      </c>
      <c r="X214" s="4" t="s">
        <v>56</v>
      </c>
      <c r="Y214" s="5">
        <v>2</v>
      </c>
    </row>
    <row r="215" spans="1:25" ht="15" thickBot="1" x14ac:dyDescent="0.35">
      <c r="A215" s="3">
        <v>1779</v>
      </c>
      <c r="B215" s="4" t="s">
        <v>53</v>
      </c>
      <c r="C215" s="4" t="s">
        <v>25</v>
      </c>
      <c r="D215" s="5">
        <v>34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2</v>
      </c>
      <c r="N215" s="5">
        <v>2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2</v>
      </c>
      <c r="V215" s="4" t="s">
        <v>54</v>
      </c>
      <c r="W215" s="4" t="s">
        <v>27</v>
      </c>
      <c r="X215" s="6" t="s">
        <v>28</v>
      </c>
      <c r="Y215" s="5">
        <v>2</v>
      </c>
    </row>
    <row r="216" spans="1:25" ht="15" thickBot="1" x14ac:dyDescent="0.35">
      <c r="A216" s="3">
        <v>1780</v>
      </c>
      <c r="B216" s="4" t="s">
        <v>53</v>
      </c>
      <c r="C216" s="4" t="s">
        <v>74</v>
      </c>
      <c r="D216" s="5">
        <v>19</v>
      </c>
      <c r="E216" s="5">
        <v>5</v>
      </c>
      <c r="F216" s="5">
        <v>3</v>
      </c>
      <c r="G216" s="5">
        <v>2</v>
      </c>
      <c r="H216" s="5">
        <v>0</v>
      </c>
      <c r="I216" s="5">
        <v>3</v>
      </c>
      <c r="J216" s="5">
        <v>1</v>
      </c>
      <c r="K216" s="5">
        <v>2</v>
      </c>
      <c r="L216" s="5">
        <v>0</v>
      </c>
      <c r="M216" s="5">
        <v>8</v>
      </c>
      <c r="N216" s="5">
        <v>8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16</v>
      </c>
      <c r="V216" s="4" t="s">
        <v>54</v>
      </c>
      <c r="W216" s="4" t="s">
        <v>74</v>
      </c>
      <c r="X216" s="4" t="s">
        <v>106</v>
      </c>
      <c r="Y216" s="5">
        <v>1</v>
      </c>
    </row>
    <row r="217" spans="1:25" ht="15" thickBot="1" x14ac:dyDescent="0.35">
      <c r="A217" s="3">
        <v>1781</v>
      </c>
      <c r="B217" s="4" t="s">
        <v>53</v>
      </c>
      <c r="C217" s="4" t="s">
        <v>38</v>
      </c>
      <c r="D217" s="5">
        <v>22</v>
      </c>
      <c r="E217" s="5">
        <v>0</v>
      </c>
      <c r="F217" s="5">
        <v>0</v>
      </c>
      <c r="G217" s="5">
        <v>0</v>
      </c>
      <c r="H217" s="5">
        <v>0</v>
      </c>
      <c r="I217" s="5">
        <v>28</v>
      </c>
      <c r="J217" s="5">
        <v>18</v>
      </c>
      <c r="K217" s="5">
        <v>10</v>
      </c>
      <c r="L217" s="5">
        <v>0</v>
      </c>
      <c r="M217" s="5">
        <v>123</v>
      </c>
      <c r="N217" s="5">
        <v>83</v>
      </c>
      <c r="O217" s="5">
        <v>40</v>
      </c>
      <c r="P217" s="5">
        <v>0</v>
      </c>
      <c r="Q217" s="5">
        <v>44</v>
      </c>
      <c r="R217" s="5">
        <v>34</v>
      </c>
      <c r="S217" s="5">
        <v>10</v>
      </c>
      <c r="T217" s="5">
        <v>0</v>
      </c>
      <c r="U217" s="5">
        <v>195</v>
      </c>
      <c r="V217" s="4" t="s">
        <v>54</v>
      </c>
      <c r="W217" s="4" t="s">
        <v>82</v>
      </c>
      <c r="X217" s="4" t="s">
        <v>37</v>
      </c>
      <c r="Y217" s="5">
        <v>11</v>
      </c>
    </row>
    <row r="218" spans="1:25" ht="15" thickBot="1" x14ac:dyDescent="0.35">
      <c r="A218" s="3">
        <v>1782</v>
      </c>
      <c r="B218" s="4" t="s">
        <v>53</v>
      </c>
      <c r="C218" s="4" t="s">
        <v>35</v>
      </c>
      <c r="D218" s="5">
        <v>25</v>
      </c>
      <c r="E218" s="5">
        <v>0</v>
      </c>
      <c r="F218" s="5">
        <v>0</v>
      </c>
      <c r="G218" s="5">
        <v>0</v>
      </c>
      <c r="H218" s="5">
        <v>0</v>
      </c>
      <c r="I218" s="5">
        <v>8</v>
      </c>
      <c r="J218" s="5">
        <v>5</v>
      </c>
      <c r="K218" s="5">
        <v>3</v>
      </c>
      <c r="L218" s="5">
        <v>0</v>
      </c>
      <c r="M218" s="5">
        <v>57</v>
      </c>
      <c r="N218" s="5">
        <v>21</v>
      </c>
      <c r="O218" s="5">
        <v>36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65</v>
      </c>
      <c r="V218" s="4" t="s">
        <v>54</v>
      </c>
      <c r="W218" s="4" t="s">
        <v>36</v>
      </c>
      <c r="X218" s="4" t="s">
        <v>77</v>
      </c>
      <c r="Y218" s="5">
        <v>1</v>
      </c>
    </row>
    <row r="219" spans="1:25" ht="15" thickBot="1" x14ac:dyDescent="0.35">
      <c r="A219" s="3">
        <v>1783</v>
      </c>
      <c r="B219" s="4" t="s">
        <v>53</v>
      </c>
      <c r="C219" s="4" t="s">
        <v>29</v>
      </c>
      <c r="D219" s="5">
        <v>31</v>
      </c>
      <c r="E219" s="5">
        <v>0</v>
      </c>
      <c r="F219" s="5">
        <v>0</v>
      </c>
      <c r="G219" s="5">
        <v>0</v>
      </c>
      <c r="H219" s="5">
        <v>0</v>
      </c>
      <c r="I219" s="5">
        <v>8</v>
      </c>
      <c r="J219" s="5">
        <v>5</v>
      </c>
      <c r="K219" s="5">
        <v>3</v>
      </c>
      <c r="L219" s="5">
        <v>0</v>
      </c>
      <c r="M219" s="5">
        <v>30</v>
      </c>
      <c r="N219" s="5">
        <v>18</v>
      </c>
      <c r="O219" s="5">
        <v>12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38</v>
      </c>
      <c r="V219" s="4" t="s">
        <v>54</v>
      </c>
      <c r="W219" s="4" t="s">
        <v>55</v>
      </c>
      <c r="X219" s="4" t="s">
        <v>84</v>
      </c>
      <c r="Y219" s="5">
        <v>2</v>
      </c>
    </row>
    <row r="220" spans="1:25" ht="15" thickBot="1" x14ac:dyDescent="0.35">
      <c r="A220" s="3">
        <v>3508</v>
      </c>
      <c r="B220" s="4" t="s">
        <v>53</v>
      </c>
      <c r="C220" s="4" t="s">
        <v>35</v>
      </c>
      <c r="D220" s="5">
        <v>25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2</v>
      </c>
      <c r="N220" s="5">
        <v>2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2</v>
      </c>
      <c r="V220" s="4" t="s">
        <v>54</v>
      </c>
      <c r="W220" s="4" t="s">
        <v>36</v>
      </c>
      <c r="X220" s="4" t="s">
        <v>37</v>
      </c>
      <c r="Y220" s="5">
        <v>2</v>
      </c>
    </row>
    <row r="221" spans="1:25" ht="15" thickBot="1" x14ac:dyDescent="0.35">
      <c r="A221" s="3">
        <v>3509</v>
      </c>
      <c r="B221" s="4" t="s">
        <v>53</v>
      </c>
      <c r="C221" s="4" t="s">
        <v>74</v>
      </c>
      <c r="D221" s="5">
        <v>19</v>
      </c>
      <c r="E221" s="5">
        <v>11</v>
      </c>
      <c r="F221" s="5">
        <v>6</v>
      </c>
      <c r="G221" s="5">
        <v>5</v>
      </c>
      <c r="H221" s="5">
        <v>0</v>
      </c>
      <c r="I221" s="5">
        <v>10</v>
      </c>
      <c r="J221" s="5">
        <v>4</v>
      </c>
      <c r="K221" s="5">
        <v>6</v>
      </c>
      <c r="L221" s="5">
        <v>0</v>
      </c>
      <c r="M221" s="5">
        <v>21</v>
      </c>
      <c r="N221" s="5">
        <v>18</v>
      </c>
      <c r="O221" s="5">
        <v>3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42</v>
      </c>
      <c r="V221" s="4" t="s">
        <v>54</v>
      </c>
      <c r="W221" s="4" t="s">
        <v>74</v>
      </c>
      <c r="X221" s="4" t="s">
        <v>106</v>
      </c>
      <c r="Y221" s="5">
        <v>1</v>
      </c>
    </row>
    <row r="222" spans="1:25" ht="15" thickBot="1" x14ac:dyDescent="0.35">
      <c r="A222" s="3">
        <v>3510</v>
      </c>
      <c r="B222" s="4" t="s">
        <v>53</v>
      </c>
      <c r="C222" s="4" t="s">
        <v>38</v>
      </c>
      <c r="D222" s="5">
        <v>22</v>
      </c>
      <c r="E222" s="5">
        <v>0</v>
      </c>
      <c r="F222" s="5">
        <v>0</v>
      </c>
      <c r="G222" s="5">
        <v>0</v>
      </c>
      <c r="H222" s="5">
        <v>0</v>
      </c>
      <c r="I222" s="5">
        <v>68</v>
      </c>
      <c r="J222" s="5">
        <v>42</v>
      </c>
      <c r="K222" s="5">
        <v>26</v>
      </c>
      <c r="L222" s="5">
        <v>0</v>
      </c>
      <c r="M222" s="5">
        <v>162</v>
      </c>
      <c r="N222" s="5">
        <v>107</v>
      </c>
      <c r="O222" s="5">
        <v>55</v>
      </c>
      <c r="P222" s="5">
        <v>0</v>
      </c>
      <c r="Q222" s="5">
        <v>86</v>
      </c>
      <c r="R222" s="5">
        <v>63</v>
      </c>
      <c r="S222" s="5">
        <v>23</v>
      </c>
      <c r="T222" s="5">
        <v>0</v>
      </c>
      <c r="U222" s="5">
        <v>316</v>
      </c>
      <c r="V222" s="4" t="s">
        <v>54</v>
      </c>
      <c r="W222" s="4" t="s">
        <v>82</v>
      </c>
      <c r="X222" s="4" t="s">
        <v>37</v>
      </c>
      <c r="Y222" s="5">
        <v>11</v>
      </c>
    </row>
    <row r="223" spans="1:25" ht="15" thickBot="1" x14ac:dyDescent="0.35">
      <c r="A223" s="3">
        <v>3511</v>
      </c>
      <c r="B223" s="4" t="s">
        <v>53</v>
      </c>
      <c r="C223" s="4" t="s">
        <v>29</v>
      </c>
      <c r="D223" s="5">
        <v>31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3</v>
      </c>
      <c r="N223" s="5">
        <v>3</v>
      </c>
      <c r="O223" s="5">
        <v>0</v>
      </c>
      <c r="P223" s="5">
        <v>0</v>
      </c>
      <c r="Q223" s="5">
        <v>12</v>
      </c>
      <c r="R223" s="5">
        <v>9</v>
      </c>
      <c r="S223" s="5">
        <v>3</v>
      </c>
      <c r="T223" s="5">
        <v>0</v>
      </c>
      <c r="U223" s="5">
        <v>15</v>
      </c>
      <c r="V223" s="4" t="s">
        <v>54</v>
      </c>
      <c r="W223" s="4" t="s">
        <v>63</v>
      </c>
      <c r="X223" s="4" t="s">
        <v>37</v>
      </c>
      <c r="Y223" s="5">
        <v>1</v>
      </c>
    </row>
    <row r="224" spans="1:25" ht="15" thickBot="1" x14ac:dyDescent="0.35">
      <c r="A224" s="3">
        <v>5348</v>
      </c>
      <c r="B224" s="4" t="s">
        <v>53</v>
      </c>
      <c r="C224" s="4" t="s">
        <v>74</v>
      </c>
      <c r="D224" s="5">
        <v>19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1</v>
      </c>
      <c r="N224" s="5">
        <v>1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1</v>
      </c>
      <c r="V224" s="4" t="s">
        <v>54</v>
      </c>
      <c r="W224" s="4" t="s">
        <v>74</v>
      </c>
      <c r="X224" s="4" t="s">
        <v>37</v>
      </c>
      <c r="Y224" s="5">
        <v>1</v>
      </c>
    </row>
    <row r="225" spans="1:25" ht="15" thickBot="1" x14ac:dyDescent="0.35">
      <c r="A225" s="3">
        <v>5349</v>
      </c>
      <c r="B225" s="4" t="s">
        <v>53</v>
      </c>
      <c r="C225" s="4" t="s">
        <v>74</v>
      </c>
      <c r="D225" s="5">
        <v>19</v>
      </c>
      <c r="E225" s="5">
        <v>10</v>
      </c>
      <c r="F225" s="5">
        <v>6</v>
      </c>
      <c r="G225" s="5">
        <v>4</v>
      </c>
      <c r="H225" s="5">
        <v>0</v>
      </c>
      <c r="I225" s="5">
        <v>26</v>
      </c>
      <c r="J225" s="5">
        <v>16</v>
      </c>
      <c r="K225" s="5">
        <v>10</v>
      </c>
      <c r="L225" s="5">
        <v>0</v>
      </c>
      <c r="M225" s="5">
        <v>68</v>
      </c>
      <c r="N225" s="5">
        <v>50</v>
      </c>
      <c r="O225" s="5">
        <v>18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104</v>
      </c>
      <c r="V225" s="4" t="s">
        <v>54</v>
      </c>
      <c r="W225" s="4" t="s">
        <v>74</v>
      </c>
      <c r="X225" s="4" t="s">
        <v>106</v>
      </c>
      <c r="Y225" s="5">
        <v>3</v>
      </c>
    </row>
    <row r="226" spans="1:25" ht="15" thickBot="1" x14ac:dyDescent="0.35">
      <c r="A226" s="3">
        <v>5350</v>
      </c>
      <c r="B226" s="4" t="s">
        <v>53</v>
      </c>
      <c r="C226" s="4" t="s">
        <v>38</v>
      </c>
      <c r="D226" s="5">
        <v>22</v>
      </c>
      <c r="E226" s="5">
        <v>0</v>
      </c>
      <c r="F226" s="5">
        <v>0</v>
      </c>
      <c r="G226" s="5">
        <v>0</v>
      </c>
      <c r="H226" s="5">
        <v>0</v>
      </c>
      <c r="I226" s="5">
        <v>63</v>
      </c>
      <c r="J226" s="5">
        <v>36</v>
      </c>
      <c r="K226" s="5">
        <v>27</v>
      </c>
      <c r="L226" s="5">
        <v>0</v>
      </c>
      <c r="M226" s="5">
        <v>147</v>
      </c>
      <c r="N226" s="5">
        <v>106</v>
      </c>
      <c r="O226" s="5">
        <v>41</v>
      </c>
      <c r="P226" s="5">
        <v>0</v>
      </c>
      <c r="Q226" s="5">
        <v>89</v>
      </c>
      <c r="R226" s="5">
        <v>60</v>
      </c>
      <c r="S226" s="5">
        <v>29</v>
      </c>
      <c r="T226" s="5">
        <v>0</v>
      </c>
      <c r="U226" s="5">
        <v>299</v>
      </c>
      <c r="V226" s="4" t="s">
        <v>54</v>
      </c>
      <c r="W226" s="4" t="s">
        <v>82</v>
      </c>
      <c r="X226" s="4" t="s">
        <v>37</v>
      </c>
      <c r="Y226" s="5">
        <v>11</v>
      </c>
    </row>
    <row r="227" spans="1:25" ht="15" thickBot="1" x14ac:dyDescent="0.35">
      <c r="A227" s="3">
        <v>5351</v>
      </c>
      <c r="B227" s="4" t="s">
        <v>53</v>
      </c>
      <c r="C227" s="4" t="s">
        <v>29</v>
      </c>
      <c r="D227" s="5">
        <v>31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3</v>
      </c>
      <c r="N227" s="5">
        <v>3</v>
      </c>
      <c r="O227" s="5">
        <v>0</v>
      </c>
      <c r="P227" s="5">
        <v>0</v>
      </c>
      <c r="Q227" s="5">
        <v>12</v>
      </c>
      <c r="R227" s="5">
        <v>9</v>
      </c>
      <c r="S227" s="5">
        <v>3</v>
      </c>
      <c r="T227" s="5">
        <v>0</v>
      </c>
      <c r="U227" s="5">
        <v>15</v>
      </c>
      <c r="V227" s="4" t="s">
        <v>54</v>
      </c>
      <c r="W227" s="4" t="s">
        <v>63</v>
      </c>
      <c r="X227" s="4" t="s">
        <v>37</v>
      </c>
      <c r="Y227" s="5">
        <v>1</v>
      </c>
    </row>
    <row r="228" spans="1:25" ht="15" thickBot="1" x14ac:dyDescent="0.35">
      <c r="A228" s="3">
        <v>7362</v>
      </c>
      <c r="B228" s="4" t="s">
        <v>53</v>
      </c>
      <c r="C228" s="4" t="s">
        <v>35</v>
      </c>
      <c r="D228" s="5">
        <v>25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2</v>
      </c>
      <c r="N228" s="5">
        <v>2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2</v>
      </c>
      <c r="V228" s="4" t="s">
        <v>54</v>
      </c>
      <c r="W228" s="4" t="s">
        <v>36</v>
      </c>
      <c r="X228" s="4" t="s">
        <v>37</v>
      </c>
      <c r="Y228" s="5">
        <v>2</v>
      </c>
    </row>
    <row r="229" spans="1:25" ht="15" thickBot="1" x14ac:dyDescent="0.35">
      <c r="A229" s="3">
        <v>7363</v>
      </c>
      <c r="B229" s="4" t="s">
        <v>53</v>
      </c>
      <c r="C229" s="4" t="s">
        <v>46</v>
      </c>
      <c r="D229" s="5">
        <v>13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13</v>
      </c>
      <c r="N229" s="5">
        <v>11</v>
      </c>
      <c r="O229" s="5">
        <v>2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13</v>
      </c>
      <c r="V229" s="4" t="s">
        <v>54</v>
      </c>
      <c r="W229" s="4" t="s">
        <v>70</v>
      </c>
      <c r="X229" s="4" t="s">
        <v>71</v>
      </c>
      <c r="Y229" s="5">
        <v>1</v>
      </c>
    </row>
    <row r="230" spans="1:25" ht="15" thickBot="1" x14ac:dyDescent="0.35">
      <c r="A230" s="3">
        <v>7364</v>
      </c>
      <c r="B230" s="4" t="s">
        <v>53</v>
      </c>
      <c r="C230" s="4" t="s">
        <v>74</v>
      </c>
      <c r="D230" s="5">
        <v>19</v>
      </c>
      <c r="E230" s="5">
        <v>13</v>
      </c>
      <c r="F230" s="5">
        <v>7</v>
      </c>
      <c r="G230" s="5">
        <v>6</v>
      </c>
      <c r="H230" s="5">
        <v>0</v>
      </c>
      <c r="I230" s="5">
        <v>31</v>
      </c>
      <c r="J230" s="5">
        <v>21</v>
      </c>
      <c r="K230" s="5">
        <v>10</v>
      </c>
      <c r="L230" s="5">
        <v>0</v>
      </c>
      <c r="M230" s="5">
        <v>70</v>
      </c>
      <c r="N230" s="5">
        <v>48</v>
      </c>
      <c r="O230" s="5">
        <v>22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114</v>
      </c>
      <c r="V230" s="4" t="s">
        <v>54</v>
      </c>
      <c r="W230" s="4" t="s">
        <v>74</v>
      </c>
      <c r="X230" s="4" t="s">
        <v>106</v>
      </c>
      <c r="Y230" s="5">
        <v>3</v>
      </c>
    </row>
    <row r="231" spans="1:25" ht="15" thickBot="1" x14ac:dyDescent="0.35">
      <c r="A231" s="3">
        <v>7365</v>
      </c>
      <c r="B231" s="4" t="s">
        <v>53</v>
      </c>
      <c r="C231" s="4" t="s">
        <v>38</v>
      </c>
      <c r="D231" s="5">
        <v>22</v>
      </c>
      <c r="E231" s="5">
        <v>3</v>
      </c>
      <c r="F231" s="5">
        <v>3</v>
      </c>
      <c r="G231" s="5">
        <v>0</v>
      </c>
      <c r="H231" s="5">
        <v>0</v>
      </c>
      <c r="I231" s="5">
        <v>68</v>
      </c>
      <c r="J231" s="5">
        <v>42</v>
      </c>
      <c r="K231" s="5">
        <v>26</v>
      </c>
      <c r="L231" s="5">
        <v>0</v>
      </c>
      <c r="M231" s="5">
        <v>199</v>
      </c>
      <c r="N231" s="5">
        <v>148</v>
      </c>
      <c r="O231" s="5">
        <v>51</v>
      </c>
      <c r="P231" s="5">
        <v>0</v>
      </c>
      <c r="Q231" s="5">
        <v>90</v>
      </c>
      <c r="R231" s="5">
        <v>59</v>
      </c>
      <c r="S231" s="5">
        <v>31</v>
      </c>
      <c r="T231" s="5">
        <v>0</v>
      </c>
      <c r="U231" s="5">
        <v>360</v>
      </c>
      <c r="V231" s="4" t="s">
        <v>54</v>
      </c>
      <c r="W231" s="4" t="s">
        <v>82</v>
      </c>
      <c r="X231" s="4" t="s">
        <v>37</v>
      </c>
      <c r="Y231" s="5">
        <v>11</v>
      </c>
    </row>
    <row r="232" spans="1:25" ht="15" thickBot="1" x14ac:dyDescent="0.35">
      <c r="A232" s="3">
        <v>7366</v>
      </c>
      <c r="B232" s="4" t="s">
        <v>53</v>
      </c>
      <c r="C232" s="4" t="s">
        <v>62</v>
      </c>
      <c r="D232" s="5">
        <v>28</v>
      </c>
      <c r="E232" s="5">
        <v>0</v>
      </c>
      <c r="F232" s="5">
        <v>0</v>
      </c>
      <c r="G232" s="5">
        <v>0</v>
      </c>
      <c r="H232" s="5">
        <v>0</v>
      </c>
      <c r="I232" s="5">
        <v>7</v>
      </c>
      <c r="J232" s="5">
        <v>7</v>
      </c>
      <c r="K232" s="5">
        <v>0</v>
      </c>
      <c r="L232" s="5">
        <v>0</v>
      </c>
      <c r="M232" s="5">
        <v>12</v>
      </c>
      <c r="N232" s="5">
        <v>12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19</v>
      </c>
      <c r="V232" s="4" t="s">
        <v>54</v>
      </c>
      <c r="W232" s="4" t="s">
        <v>37</v>
      </c>
      <c r="X232" s="6" t="s">
        <v>28</v>
      </c>
      <c r="Y232" s="5">
        <v>1</v>
      </c>
    </row>
    <row r="233" spans="1:25" ht="15" thickBot="1" x14ac:dyDescent="0.35">
      <c r="A233" s="3">
        <v>7367</v>
      </c>
      <c r="B233" s="4" t="s">
        <v>53</v>
      </c>
      <c r="C233" s="4" t="s">
        <v>29</v>
      </c>
      <c r="D233" s="5">
        <v>31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5</v>
      </c>
      <c r="N233" s="5">
        <v>5</v>
      </c>
      <c r="O233" s="5">
        <v>0</v>
      </c>
      <c r="P233" s="5">
        <v>0</v>
      </c>
      <c r="Q233" s="5">
        <v>14</v>
      </c>
      <c r="R233" s="5">
        <v>11</v>
      </c>
      <c r="S233" s="5">
        <v>3</v>
      </c>
      <c r="T233" s="5">
        <v>0</v>
      </c>
      <c r="U233" s="5">
        <v>19</v>
      </c>
      <c r="V233" s="4" t="s">
        <v>54</v>
      </c>
      <c r="W233" s="4" t="s">
        <v>63</v>
      </c>
      <c r="X233" s="4" t="s">
        <v>37</v>
      </c>
      <c r="Y233" s="5">
        <v>1</v>
      </c>
    </row>
    <row r="234" spans="1:25" ht="15" thickBot="1" x14ac:dyDescent="0.35">
      <c r="A234" s="3">
        <v>9441</v>
      </c>
      <c r="B234" s="4" t="s">
        <v>53</v>
      </c>
      <c r="C234" s="4" t="s">
        <v>74</v>
      </c>
      <c r="D234" s="5">
        <v>19</v>
      </c>
      <c r="E234" s="5">
        <v>12</v>
      </c>
      <c r="F234" s="5">
        <v>7</v>
      </c>
      <c r="G234" s="5">
        <v>5</v>
      </c>
      <c r="H234" s="5">
        <v>0</v>
      </c>
      <c r="I234" s="5">
        <v>17</v>
      </c>
      <c r="J234" s="5">
        <v>11</v>
      </c>
      <c r="K234" s="5">
        <v>6</v>
      </c>
      <c r="L234" s="5">
        <v>0</v>
      </c>
      <c r="M234" s="5">
        <v>43</v>
      </c>
      <c r="N234" s="5">
        <v>37</v>
      </c>
      <c r="O234" s="5">
        <v>6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72</v>
      </c>
      <c r="V234" s="4" t="s">
        <v>54</v>
      </c>
      <c r="W234" s="4" t="s">
        <v>74</v>
      </c>
      <c r="X234" s="4" t="s">
        <v>106</v>
      </c>
      <c r="Y234" s="5">
        <v>2</v>
      </c>
    </row>
    <row r="235" spans="1:25" ht="15" thickBot="1" x14ac:dyDescent="0.35">
      <c r="A235" s="3">
        <v>9442</v>
      </c>
      <c r="B235" s="4" t="s">
        <v>53</v>
      </c>
      <c r="C235" s="4" t="s">
        <v>38</v>
      </c>
      <c r="D235" s="5">
        <v>22</v>
      </c>
      <c r="E235" s="5">
        <v>0</v>
      </c>
      <c r="F235" s="5">
        <v>0</v>
      </c>
      <c r="G235" s="5">
        <v>0</v>
      </c>
      <c r="H235" s="5">
        <v>0</v>
      </c>
      <c r="I235" s="5">
        <v>60</v>
      </c>
      <c r="J235" s="5">
        <v>40</v>
      </c>
      <c r="K235" s="5">
        <v>20</v>
      </c>
      <c r="L235" s="5">
        <v>0</v>
      </c>
      <c r="M235" s="5">
        <v>245</v>
      </c>
      <c r="N235" s="5">
        <v>176</v>
      </c>
      <c r="O235" s="5">
        <v>69</v>
      </c>
      <c r="P235" s="5">
        <v>0</v>
      </c>
      <c r="Q235" s="5">
        <v>124</v>
      </c>
      <c r="R235" s="5">
        <v>80</v>
      </c>
      <c r="S235" s="5">
        <v>44</v>
      </c>
      <c r="T235" s="5">
        <v>0</v>
      </c>
      <c r="U235" s="5">
        <v>429</v>
      </c>
      <c r="V235" s="4" t="s">
        <v>54</v>
      </c>
      <c r="W235" s="4" t="s">
        <v>82</v>
      </c>
      <c r="X235" s="4" t="s">
        <v>37</v>
      </c>
      <c r="Y235" s="5">
        <v>11</v>
      </c>
    </row>
    <row r="236" spans="1:25" ht="15" thickBot="1" x14ac:dyDescent="0.35">
      <c r="A236" s="3">
        <v>9443</v>
      </c>
      <c r="B236" s="4" t="s">
        <v>53</v>
      </c>
      <c r="C236" s="4" t="s">
        <v>29</v>
      </c>
      <c r="D236" s="5">
        <v>31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5</v>
      </c>
      <c r="N236" s="5">
        <v>5</v>
      </c>
      <c r="O236" s="5">
        <v>0</v>
      </c>
      <c r="P236" s="5">
        <v>0</v>
      </c>
      <c r="Q236" s="5">
        <v>14</v>
      </c>
      <c r="R236" s="5">
        <v>11</v>
      </c>
      <c r="S236" s="5">
        <v>3</v>
      </c>
      <c r="T236" s="5">
        <v>0</v>
      </c>
      <c r="U236" s="5">
        <v>19</v>
      </c>
      <c r="V236" s="4" t="s">
        <v>54</v>
      </c>
      <c r="W236" s="4" t="s">
        <v>63</v>
      </c>
      <c r="X236" s="4" t="s">
        <v>37</v>
      </c>
      <c r="Y236" s="5">
        <v>1</v>
      </c>
    </row>
    <row r="237" spans="1:25" ht="15" thickBot="1" x14ac:dyDescent="0.35">
      <c r="A237" s="3">
        <v>11561</v>
      </c>
      <c r="B237" s="4" t="s">
        <v>53</v>
      </c>
      <c r="C237" s="4" t="s">
        <v>33</v>
      </c>
      <c r="D237" s="5">
        <v>10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18</v>
      </c>
      <c r="N237" s="5">
        <v>16</v>
      </c>
      <c r="O237" s="5">
        <v>2</v>
      </c>
      <c r="P237" s="5">
        <v>0</v>
      </c>
      <c r="Q237" s="5">
        <v>1</v>
      </c>
      <c r="R237" s="5">
        <v>1</v>
      </c>
      <c r="S237" s="5">
        <v>0</v>
      </c>
      <c r="T237" s="5">
        <v>0</v>
      </c>
      <c r="U237" s="5">
        <v>19</v>
      </c>
      <c r="V237" s="4" t="s">
        <v>54</v>
      </c>
      <c r="W237" s="4" t="s">
        <v>85</v>
      </c>
      <c r="X237" s="4" t="s">
        <v>98</v>
      </c>
      <c r="Y237" s="5">
        <v>1</v>
      </c>
    </row>
    <row r="238" spans="1:25" ht="15" thickBot="1" x14ac:dyDescent="0.35">
      <c r="A238" s="3">
        <v>11562</v>
      </c>
      <c r="B238" s="4" t="s">
        <v>53</v>
      </c>
      <c r="C238" s="4" t="s">
        <v>46</v>
      </c>
      <c r="D238" s="5">
        <v>13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14</v>
      </c>
      <c r="N238" s="5">
        <v>12</v>
      </c>
      <c r="O238" s="5">
        <v>2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14</v>
      </c>
      <c r="V238" s="4" t="s">
        <v>54</v>
      </c>
      <c r="W238" s="4" t="s">
        <v>70</v>
      </c>
      <c r="X238" s="4" t="s">
        <v>71</v>
      </c>
      <c r="Y238" s="5">
        <v>1</v>
      </c>
    </row>
    <row r="239" spans="1:25" ht="15" thickBot="1" x14ac:dyDescent="0.35">
      <c r="A239" s="3">
        <v>11563</v>
      </c>
      <c r="B239" s="4" t="s">
        <v>53</v>
      </c>
      <c r="C239" s="4" t="s">
        <v>74</v>
      </c>
      <c r="D239" s="5">
        <v>19</v>
      </c>
      <c r="E239" s="5">
        <v>13</v>
      </c>
      <c r="F239" s="5">
        <v>8</v>
      </c>
      <c r="G239" s="5">
        <v>5</v>
      </c>
      <c r="H239" s="5">
        <v>0</v>
      </c>
      <c r="I239" s="5">
        <v>24</v>
      </c>
      <c r="J239" s="5">
        <v>14</v>
      </c>
      <c r="K239" s="5">
        <v>10</v>
      </c>
      <c r="L239" s="5">
        <v>0</v>
      </c>
      <c r="M239" s="5">
        <v>52</v>
      </c>
      <c r="N239" s="5">
        <v>43</v>
      </c>
      <c r="O239" s="5">
        <v>9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89</v>
      </c>
      <c r="V239" s="4" t="s">
        <v>54</v>
      </c>
      <c r="W239" s="4" t="s">
        <v>74</v>
      </c>
      <c r="X239" s="4" t="s">
        <v>106</v>
      </c>
      <c r="Y239" s="5">
        <v>2</v>
      </c>
    </row>
    <row r="240" spans="1:25" ht="15" thickBot="1" x14ac:dyDescent="0.35">
      <c r="A240" s="3">
        <v>11564</v>
      </c>
      <c r="B240" s="4" t="s">
        <v>53</v>
      </c>
      <c r="C240" s="4" t="s">
        <v>38</v>
      </c>
      <c r="D240" s="5">
        <v>22</v>
      </c>
      <c r="E240" s="5">
        <v>3</v>
      </c>
      <c r="F240" s="5">
        <v>2</v>
      </c>
      <c r="G240" s="5">
        <v>1</v>
      </c>
      <c r="H240" s="5">
        <v>0</v>
      </c>
      <c r="I240" s="5">
        <v>72</v>
      </c>
      <c r="J240" s="5">
        <v>44</v>
      </c>
      <c r="K240" s="5">
        <v>28</v>
      </c>
      <c r="L240" s="5">
        <v>0</v>
      </c>
      <c r="M240" s="5">
        <v>217</v>
      </c>
      <c r="N240" s="5">
        <v>156</v>
      </c>
      <c r="O240" s="5">
        <v>61</v>
      </c>
      <c r="P240" s="5">
        <v>0</v>
      </c>
      <c r="Q240" s="5">
        <v>143</v>
      </c>
      <c r="R240" s="5">
        <v>90</v>
      </c>
      <c r="S240" s="5">
        <v>53</v>
      </c>
      <c r="T240" s="5">
        <v>0</v>
      </c>
      <c r="U240" s="5">
        <v>435</v>
      </c>
      <c r="V240" s="4" t="s">
        <v>54</v>
      </c>
      <c r="W240" s="4" t="s">
        <v>82</v>
      </c>
      <c r="X240" s="4" t="s">
        <v>37</v>
      </c>
      <c r="Y240" s="5">
        <v>11</v>
      </c>
    </row>
    <row r="241" spans="1:25" ht="15" thickBot="1" x14ac:dyDescent="0.35">
      <c r="A241" s="3">
        <v>11565</v>
      </c>
      <c r="B241" s="4" t="s">
        <v>53</v>
      </c>
      <c r="C241" s="4" t="s">
        <v>29</v>
      </c>
      <c r="D241" s="5">
        <v>31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5</v>
      </c>
      <c r="N241" s="5">
        <v>5</v>
      </c>
      <c r="O241" s="5">
        <v>0</v>
      </c>
      <c r="P241" s="5">
        <v>0</v>
      </c>
      <c r="Q241" s="5">
        <v>14</v>
      </c>
      <c r="R241" s="5">
        <v>11</v>
      </c>
      <c r="S241" s="5">
        <v>3</v>
      </c>
      <c r="T241" s="5">
        <v>0</v>
      </c>
      <c r="U241" s="5">
        <v>19</v>
      </c>
      <c r="V241" s="4" t="s">
        <v>54</v>
      </c>
      <c r="W241" s="4" t="s">
        <v>63</v>
      </c>
      <c r="X241" s="4" t="s">
        <v>37</v>
      </c>
      <c r="Y241" s="5">
        <v>1</v>
      </c>
    </row>
    <row r="242" spans="1:25" ht="15" thickBot="1" x14ac:dyDescent="0.35">
      <c r="A242" s="3">
        <v>13624</v>
      </c>
      <c r="B242" s="4" t="s">
        <v>53</v>
      </c>
      <c r="C242" s="4" t="s">
        <v>35</v>
      </c>
      <c r="D242" s="5">
        <v>25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4" t="s">
        <v>54</v>
      </c>
      <c r="W242" s="4" t="s">
        <v>36</v>
      </c>
      <c r="X242" s="4" t="s">
        <v>75</v>
      </c>
      <c r="Y242" s="5">
        <v>1</v>
      </c>
    </row>
    <row r="243" spans="1:25" ht="15" thickBot="1" x14ac:dyDescent="0.35">
      <c r="A243" s="3">
        <v>13625</v>
      </c>
      <c r="B243" s="4" t="s">
        <v>53</v>
      </c>
      <c r="C243" s="4" t="s">
        <v>33</v>
      </c>
      <c r="D243" s="5">
        <v>10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18</v>
      </c>
      <c r="N243" s="5">
        <v>16</v>
      </c>
      <c r="O243" s="5">
        <v>2</v>
      </c>
      <c r="P243" s="5">
        <v>0</v>
      </c>
      <c r="Q243" s="5">
        <v>1</v>
      </c>
      <c r="R243" s="5">
        <v>1</v>
      </c>
      <c r="S243" s="5">
        <v>0</v>
      </c>
      <c r="T243" s="5">
        <v>0</v>
      </c>
      <c r="U243" s="5">
        <v>19</v>
      </c>
      <c r="V243" s="4" t="s">
        <v>54</v>
      </c>
      <c r="W243" s="4" t="s">
        <v>85</v>
      </c>
      <c r="X243" s="4" t="s">
        <v>98</v>
      </c>
      <c r="Y243" s="5">
        <v>1</v>
      </c>
    </row>
    <row r="244" spans="1:25" ht="15" thickBot="1" x14ac:dyDescent="0.35">
      <c r="A244" s="3">
        <v>13626</v>
      </c>
      <c r="B244" s="4" t="s">
        <v>53</v>
      </c>
      <c r="C244" s="4" t="s">
        <v>46</v>
      </c>
      <c r="D244" s="5">
        <v>13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35</v>
      </c>
      <c r="N244" s="5">
        <v>27</v>
      </c>
      <c r="O244" s="5">
        <v>8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35</v>
      </c>
      <c r="V244" s="4" t="s">
        <v>54</v>
      </c>
      <c r="W244" s="4" t="s">
        <v>70</v>
      </c>
      <c r="X244" s="4" t="s">
        <v>71</v>
      </c>
      <c r="Y244" s="5">
        <v>2</v>
      </c>
    </row>
    <row r="245" spans="1:25" ht="15" thickBot="1" x14ac:dyDescent="0.35">
      <c r="A245" s="3">
        <v>13627</v>
      </c>
      <c r="B245" s="4" t="s">
        <v>53</v>
      </c>
      <c r="C245" s="4" t="s">
        <v>74</v>
      </c>
      <c r="D245" s="5">
        <v>19</v>
      </c>
      <c r="E245" s="5">
        <v>12</v>
      </c>
      <c r="F245" s="5">
        <v>7</v>
      </c>
      <c r="G245" s="5">
        <v>5</v>
      </c>
      <c r="H245" s="5">
        <v>0</v>
      </c>
      <c r="I245" s="5">
        <v>23</v>
      </c>
      <c r="J245" s="5">
        <v>15</v>
      </c>
      <c r="K245" s="5">
        <v>8</v>
      </c>
      <c r="L245" s="5">
        <v>0</v>
      </c>
      <c r="M245" s="5">
        <v>46</v>
      </c>
      <c r="N245" s="5">
        <v>39</v>
      </c>
      <c r="O245" s="5">
        <v>7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81</v>
      </c>
      <c r="V245" s="4" t="s">
        <v>54</v>
      </c>
      <c r="W245" s="4" t="s">
        <v>74</v>
      </c>
      <c r="X245" s="4" t="s">
        <v>106</v>
      </c>
      <c r="Y245" s="5">
        <v>2</v>
      </c>
    </row>
    <row r="246" spans="1:25" ht="15" thickBot="1" x14ac:dyDescent="0.35">
      <c r="A246" s="3">
        <v>13628</v>
      </c>
      <c r="B246" s="4" t="s">
        <v>53</v>
      </c>
      <c r="C246" s="4" t="s">
        <v>38</v>
      </c>
      <c r="D246" s="5">
        <v>22</v>
      </c>
      <c r="E246" s="5">
        <v>5</v>
      </c>
      <c r="F246" s="5">
        <v>4</v>
      </c>
      <c r="G246" s="5">
        <v>1</v>
      </c>
      <c r="H246" s="5">
        <v>0</v>
      </c>
      <c r="I246" s="5">
        <v>65</v>
      </c>
      <c r="J246" s="5">
        <v>36</v>
      </c>
      <c r="K246" s="5">
        <v>29</v>
      </c>
      <c r="L246" s="5">
        <v>0</v>
      </c>
      <c r="M246" s="5">
        <v>192</v>
      </c>
      <c r="N246" s="5">
        <v>133</v>
      </c>
      <c r="O246" s="5">
        <v>59</v>
      </c>
      <c r="P246" s="5">
        <v>0</v>
      </c>
      <c r="Q246" s="5">
        <v>143</v>
      </c>
      <c r="R246" s="5">
        <v>91</v>
      </c>
      <c r="S246" s="5">
        <v>52</v>
      </c>
      <c r="T246" s="5">
        <v>0</v>
      </c>
      <c r="U246" s="5">
        <v>405</v>
      </c>
      <c r="V246" s="4" t="s">
        <v>54</v>
      </c>
      <c r="W246" s="4" t="s">
        <v>82</v>
      </c>
      <c r="X246" s="4" t="s">
        <v>37</v>
      </c>
      <c r="Y246" s="5">
        <v>11</v>
      </c>
    </row>
    <row r="247" spans="1:25" ht="15" thickBot="1" x14ac:dyDescent="0.35">
      <c r="A247" s="3">
        <v>13629</v>
      </c>
      <c r="B247" s="4" t="s">
        <v>53</v>
      </c>
      <c r="C247" s="4" t="s">
        <v>35</v>
      </c>
      <c r="D247" s="5">
        <v>25</v>
      </c>
      <c r="E247" s="5">
        <v>0</v>
      </c>
      <c r="F247" s="5">
        <v>0</v>
      </c>
      <c r="G247" s="5">
        <v>0</v>
      </c>
      <c r="H247" s="5">
        <v>0</v>
      </c>
      <c r="I247" s="5">
        <v>1</v>
      </c>
      <c r="J247" s="5">
        <v>1</v>
      </c>
      <c r="K247" s="5">
        <v>0</v>
      </c>
      <c r="L247" s="5">
        <v>0</v>
      </c>
      <c r="M247" s="5">
        <v>22</v>
      </c>
      <c r="N247" s="5">
        <v>22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23</v>
      </c>
      <c r="V247" s="4" t="s">
        <v>54</v>
      </c>
      <c r="W247" s="4" t="s">
        <v>36</v>
      </c>
      <c r="X247" s="4" t="s">
        <v>81</v>
      </c>
      <c r="Y247" s="5">
        <v>1</v>
      </c>
    </row>
    <row r="248" spans="1:25" ht="15" thickBot="1" x14ac:dyDescent="0.35">
      <c r="A248" s="3">
        <v>13630</v>
      </c>
      <c r="B248" s="4" t="s">
        <v>53</v>
      </c>
      <c r="C248" s="4" t="s">
        <v>29</v>
      </c>
      <c r="D248" s="5">
        <v>31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5</v>
      </c>
      <c r="N248" s="5">
        <v>5</v>
      </c>
      <c r="O248" s="5">
        <v>0</v>
      </c>
      <c r="P248" s="5">
        <v>0</v>
      </c>
      <c r="Q248" s="5">
        <v>14</v>
      </c>
      <c r="R248" s="5">
        <v>11</v>
      </c>
      <c r="S248" s="5">
        <v>3</v>
      </c>
      <c r="T248" s="5">
        <v>0</v>
      </c>
      <c r="U248" s="5">
        <v>19</v>
      </c>
      <c r="V248" s="4" t="s">
        <v>54</v>
      </c>
      <c r="W248" s="4" t="s">
        <v>63</v>
      </c>
      <c r="X248" s="4" t="s">
        <v>37</v>
      </c>
      <c r="Y248" s="5">
        <v>1</v>
      </c>
    </row>
    <row r="249" spans="1:25" ht="15" thickBot="1" x14ac:dyDescent="0.35">
      <c r="A249" s="3">
        <v>2184</v>
      </c>
      <c r="B249" s="4" t="s">
        <v>107</v>
      </c>
      <c r="C249" s="4" t="s">
        <v>38</v>
      </c>
      <c r="D249" s="5">
        <v>22</v>
      </c>
      <c r="E249" s="5">
        <v>0</v>
      </c>
      <c r="F249" s="5">
        <v>0</v>
      </c>
      <c r="G249" s="5">
        <v>0</v>
      </c>
      <c r="H249" s="5">
        <v>0</v>
      </c>
      <c r="I249" s="5">
        <v>3</v>
      </c>
      <c r="J249" s="5">
        <v>3</v>
      </c>
      <c r="K249" s="5">
        <v>0</v>
      </c>
      <c r="L249" s="5">
        <v>0</v>
      </c>
      <c r="M249" s="5">
        <v>5</v>
      </c>
      <c r="N249" s="5">
        <v>5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8</v>
      </c>
      <c r="V249" s="4" t="s">
        <v>73</v>
      </c>
      <c r="W249" s="4" t="s">
        <v>39</v>
      </c>
      <c r="X249" s="4" t="s">
        <v>57</v>
      </c>
      <c r="Y249" s="5">
        <v>1</v>
      </c>
    </row>
    <row r="250" spans="1:25" ht="15" thickBot="1" x14ac:dyDescent="0.35">
      <c r="A250" s="3">
        <v>2185</v>
      </c>
      <c r="B250" s="4" t="s">
        <v>107</v>
      </c>
      <c r="C250" s="4" t="s">
        <v>29</v>
      </c>
      <c r="D250" s="5">
        <v>31</v>
      </c>
      <c r="E250" s="5">
        <v>37</v>
      </c>
      <c r="F250" s="5">
        <v>15</v>
      </c>
      <c r="G250" s="5">
        <v>22</v>
      </c>
      <c r="H250" s="5">
        <v>0</v>
      </c>
      <c r="I250" s="5">
        <v>5</v>
      </c>
      <c r="J250" s="5">
        <v>3</v>
      </c>
      <c r="K250" s="5">
        <v>2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42</v>
      </c>
      <c r="V250" s="4" t="s">
        <v>73</v>
      </c>
      <c r="W250" s="4" t="s">
        <v>55</v>
      </c>
      <c r="X250" s="4" t="s">
        <v>61</v>
      </c>
      <c r="Y250" s="5">
        <v>1</v>
      </c>
    </row>
    <row r="251" spans="1:25" ht="15" thickBot="1" x14ac:dyDescent="0.35">
      <c r="A251" s="3">
        <v>3924</v>
      </c>
      <c r="B251" s="4" t="s">
        <v>107</v>
      </c>
      <c r="C251" s="4" t="s">
        <v>38</v>
      </c>
      <c r="D251" s="5">
        <v>22</v>
      </c>
      <c r="E251" s="5">
        <v>0</v>
      </c>
      <c r="F251" s="5">
        <v>0</v>
      </c>
      <c r="G251" s="5">
        <v>0</v>
      </c>
      <c r="H251" s="5">
        <v>0</v>
      </c>
      <c r="I251" s="5">
        <v>2</v>
      </c>
      <c r="J251" s="5">
        <v>1</v>
      </c>
      <c r="K251" s="5">
        <v>1</v>
      </c>
      <c r="L251" s="5">
        <v>0</v>
      </c>
      <c r="M251" s="5">
        <v>6</v>
      </c>
      <c r="N251" s="5">
        <v>4</v>
      </c>
      <c r="O251" s="5">
        <v>1</v>
      </c>
      <c r="P251" s="5">
        <v>1</v>
      </c>
      <c r="Q251" s="5">
        <v>1</v>
      </c>
      <c r="R251" s="5">
        <v>1</v>
      </c>
      <c r="S251" s="5">
        <v>0</v>
      </c>
      <c r="T251" s="5">
        <v>0</v>
      </c>
      <c r="U251" s="5">
        <v>9</v>
      </c>
      <c r="V251" s="4" t="s">
        <v>73</v>
      </c>
      <c r="W251" s="4" t="s">
        <v>39</v>
      </c>
      <c r="X251" s="4" t="s">
        <v>57</v>
      </c>
      <c r="Y251" s="5">
        <v>1</v>
      </c>
    </row>
    <row r="252" spans="1:25" ht="15" thickBot="1" x14ac:dyDescent="0.35">
      <c r="A252" s="3">
        <v>5834</v>
      </c>
      <c r="B252" s="4" t="s">
        <v>107</v>
      </c>
      <c r="C252" s="4" t="s">
        <v>38</v>
      </c>
      <c r="D252" s="5">
        <v>22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9</v>
      </c>
      <c r="N252" s="5">
        <v>7</v>
      </c>
      <c r="O252" s="5">
        <v>2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9</v>
      </c>
      <c r="V252" s="4" t="s">
        <v>73</v>
      </c>
      <c r="W252" s="4" t="s">
        <v>39</v>
      </c>
      <c r="X252" s="4" t="s">
        <v>57</v>
      </c>
      <c r="Y252" s="5">
        <v>1</v>
      </c>
    </row>
    <row r="253" spans="1:25" ht="15" thickBot="1" x14ac:dyDescent="0.35">
      <c r="A253" s="3">
        <v>5835</v>
      </c>
      <c r="B253" s="4" t="s">
        <v>107</v>
      </c>
      <c r="C253" s="4" t="s">
        <v>62</v>
      </c>
      <c r="D253" s="5">
        <v>28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11</v>
      </c>
      <c r="N253" s="5">
        <v>9</v>
      </c>
      <c r="O253" s="5">
        <v>2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11</v>
      </c>
      <c r="V253" s="4" t="s">
        <v>73</v>
      </c>
      <c r="W253" s="4" t="s">
        <v>37</v>
      </c>
      <c r="X253" s="6" t="s">
        <v>28</v>
      </c>
      <c r="Y253" s="5">
        <v>1</v>
      </c>
    </row>
    <row r="254" spans="1:25" ht="15" thickBot="1" x14ac:dyDescent="0.35">
      <c r="A254" s="3">
        <v>7878</v>
      </c>
      <c r="B254" s="4" t="s">
        <v>107</v>
      </c>
      <c r="C254" s="4" t="s">
        <v>33</v>
      </c>
      <c r="D254" s="5">
        <v>10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54</v>
      </c>
      <c r="N254" s="5">
        <v>32</v>
      </c>
      <c r="O254" s="5">
        <v>22</v>
      </c>
      <c r="P254" s="5">
        <v>0</v>
      </c>
      <c r="Q254" s="5">
        <v>15</v>
      </c>
      <c r="R254" s="5">
        <v>8</v>
      </c>
      <c r="S254" s="5">
        <v>7</v>
      </c>
      <c r="T254" s="5">
        <v>0</v>
      </c>
      <c r="U254" s="5">
        <v>69</v>
      </c>
      <c r="V254" s="4" t="s">
        <v>73</v>
      </c>
      <c r="W254" s="4" t="s">
        <v>33</v>
      </c>
      <c r="X254" s="4" t="s">
        <v>67</v>
      </c>
      <c r="Y254" s="5">
        <v>2</v>
      </c>
    </row>
    <row r="255" spans="1:25" ht="15" thickBot="1" x14ac:dyDescent="0.35">
      <c r="A255" s="3">
        <v>7879</v>
      </c>
      <c r="B255" s="4" t="s">
        <v>107</v>
      </c>
      <c r="C255" s="4" t="s">
        <v>74</v>
      </c>
      <c r="D255" s="5">
        <v>19</v>
      </c>
      <c r="E255" s="5">
        <v>0</v>
      </c>
      <c r="F255" s="5">
        <v>0</v>
      </c>
      <c r="G255" s="5">
        <v>0</v>
      </c>
      <c r="H255" s="5">
        <v>0</v>
      </c>
      <c r="I255" s="5">
        <v>2</v>
      </c>
      <c r="J255" s="5">
        <v>2</v>
      </c>
      <c r="K255" s="5">
        <v>0</v>
      </c>
      <c r="L255" s="5">
        <v>0</v>
      </c>
      <c r="M255" s="5">
        <v>11</v>
      </c>
      <c r="N255" s="5">
        <v>8</v>
      </c>
      <c r="O255" s="5">
        <v>3</v>
      </c>
      <c r="P255" s="5">
        <v>0</v>
      </c>
      <c r="Q255" s="5">
        <v>1</v>
      </c>
      <c r="R255" s="5">
        <v>1</v>
      </c>
      <c r="S255" s="5">
        <v>0</v>
      </c>
      <c r="T255" s="5">
        <v>0</v>
      </c>
      <c r="U255" s="5">
        <v>14</v>
      </c>
      <c r="V255" s="4" t="s">
        <v>73</v>
      </c>
      <c r="W255" s="4" t="s">
        <v>74</v>
      </c>
      <c r="X255" s="4" t="s">
        <v>37</v>
      </c>
      <c r="Y255" s="5">
        <v>1</v>
      </c>
    </row>
    <row r="256" spans="1:25" ht="15" thickBot="1" x14ac:dyDescent="0.35">
      <c r="A256" s="3">
        <v>7880</v>
      </c>
      <c r="B256" s="4" t="s">
        <v>107</v>
      </c>
      <c r="C256" s="4" t="s">
        <v>38</v>
      </c>
      <c r="D256" s="5">
        <v>22</v>
      </c>
      <c r="E256" s="5">
        <v>0</v>
      </c>
      <c r="F256" s="5">
        <v>0</v>
      </c>
      <c r="G256" s="5">
        <v>0</v>
      </c>
      <c r="H256" s="5">
        <v>0</v>
      </c>
      <c r="I256" s="5">
        <v>2</v>
      </c>
      <c r="J256" s="5">
        <v>2</v>
      </c>
      <c r="K256" s="5">
        <v>0</v>
      </c>
      <c r="L256" s="5">
        <v>0</v>
      </c>
      <c r="M256" s="5">
        <v>5</v>
      </c>
      <c r="N256" s="5">
        <v>4</v>
      </c>
      <c r="O256" s="5">
        <v>1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7</v>
      </c>
      <c r="V256" s="4" t="s">
        <v>73</v>
      </c>
      <c r="W256" s="4" t="s">
        <v>39</v>
      </c>
      <c r="X256" s="4" t="s">
        <v>57</v>
      </c>
      <c r="Y256" s="5">
        <v>1</v>
      </c>
    </row>
    <row r="257" spans="1:25" ht="15" thickBot="1" x14ac:dyDescent="0.35">
      <c r="A257" s="3">
        <v>7881</v>
      </c>
      <c r="B257" s="4" t="s">
        <v>107</v>
      </c>
      <c r="C257" s="4" t="s">
        <v>29</v>
      </c>
      <c r="D257" s="5">
        <v>31</v>
      </c>
      <c r="E257" s="5">
        <v>17</v>
      </c>
      <c r="F257" s="5">
        <v>14</v>
      </c>
      <c r="G257" s="5">
        <v>3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1</v>
      </c>
      <c r="N257" s="5">
        <v>1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18</v>
      </c>
      <c r="V257" s="4" t="s">
        <v>73</v>
      </c>
      <c r="W257" s="4" t="s">
        <v>63</v>
      </c>
      <c r="X257" s="4" t="s">
        <v>72</v>
      </c>
      <c r="Y257" s="5">
        <v>2</v>
      </c>
    </row>
    <row r="258" spans="1:25" ht="15" thickBot="1" x14ac:dyDescent="0.35">
      <c r="A258" s="3">
        <v>9971</v>
      </c>
      <c r="B258" s="4" t="s">
        <v>107</v>
      </c>
      <c r="C258" s="4" t="s">
        <v>33</v>
      </c>
      <c r="D258" s="5">
        <v>10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55</v>
      </c>
      <c r="N258" s="5">
        <v>32</v>
      </c>
      <c r="O258" s="5">
        <v>23</v>
      </c>
      <c r="P258" s="5">
        <v>0</v>
      </c>
      <c r="Q258" s="5">
        <v>15</v>
      </c>
      <c r="R258" s="5">
        <v>8</v>
      </c>
      <c r="S258" s="5">
        <v>7</v>
      </c>
      <c r="T258" s="5">
        <v>0</v>
      </c>
      <c r="U258" s="5">
        <v>70</v>
      </c>
      <c r="V258" s="4" t="s">
        <v>73</v>
      </c>
      <c r="W258" s="4" t="s">
        <v>33</v>
      </c>
      <c r="X258" s="4" t="s">
        <v>67</v>
      </c>
      <c r="Y258" s="5">
        <v>2</v>
      </c>
    </row>
    <row r="259" spans="1:25" ht="15" thickBot="1" x14ac:dyDescent="0.35">
      <c r="A259" s="3">
        <v>9972</v>
      </c>
      <c r="B259" s="4" t="s">
        <v>107</v>
      </c>
      <c r="C259" s="4" t="s">
        <v>74</v>
      </c>
      <c r="D259" s="5">
        <v>19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4" t="s">
        <v>73</v>
      </c>
      <c r="W259" s="4" t="s">
        <v>74</v>
      </c>
      <c r="X259" s="4" t="s">
        <v>37</v>
      </c>
      <c r="Y259" s="5">
        <v>1</v>
      </c>
    </row>
    <row r="260" spans="1:25" ht="15" thickBot="1" x14ac:dyDescent="0.35">
      <c r="A260" s="3">
        <v>9973</v>
      </c>
      <c r="B260" s="4" t="s">
        <v>107</v>
      </c>
      <c r="C260" s="4" t="s">
        <v>38</v>
      </c>
      <c r="D260" s="5">
        <v>22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2</v>
      </c>
      <c r="N260" s="5">
        <v>2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2</v>
      </c>
      <c r="V260" s="4" t="s">
        <v>73</v>
      </c>
      <c r="W260" s="4" t="s">
        <v>39</v>
      </c>
      <c r="X260" s="4" t="s">
        <v>57</v>
      </c>
      <c r="Y260" s="5">
        <v>1</v>
      </c>
    </row>
    <row r="261" spans="1:25" ht="15" thickBot="1" x14ac:dyDescent="0.35">
      <c r="A261" s="3">
        <v>9974</v>
      </c>
      <c r="B261" s="4" t="s">
        <v>107</v>
      </c>
      <c r="C261" s="4" t="s">
        <v>29</v>
      </c>
      <c r="D261" s="5">
        <v>31</v>
      </c>
      <c r="E261" s="5">
        <v>58</v>
      </c>
      <c r="F261" s="5">
        <v>48</v>
      </c>
      <c r="G261" s="5">
        <v>10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4</v>
      </c>
      <c r="N261" s="5">
        <v>4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62</v>
      </c>
      <c r="V261" s="4" t="s">
        <v>73</v>
      </c>
      <c r="W261" s="4" t="s">
        <v>63</v>
      </c>
      <c r="X261" s="4" t="s">
        <v>72</v>
      </c>
      <c r="Y261" s="5">
        <v>2</v>
      </c>
    </row>
    <row r="262" spans="1:25" ht="15" thickBot="1" x14ac:dyDescent="0.35">
      <c r="A262" s="3">
        <v>9975</v>
      </c>
      <c r="B262" s="4" t="s">
        <v>107</v>
      </c>
      <c r="C262" s="4" t="s">
        <v>25</v>
      </c>
      <c r="D262" s="5">
        <v>34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56</v>
      </c>
      <c r="N262" s="5">
        <v>32</v>
      </c>
      <c r="O262" s="5">
        <v>24</v>
      </c>
      <c r="P262" s="5">
        <v>0</v>
      </c>
      <c r="Q262" s="5">
        <v>8</v>
      </c>
      <c r="R262" s="5">
        <v>8</v>
      </c>
      <c r="S262" s="5">
        <v>0</v>
      </c>
      <c r="T262" s="5">
        <v>0</v>
      </c>
      <c r="U262" s="5">
        <v>64</v>
      </c>
      <c r="V262" s="4" t="s">
        <v>73</v>
      </c>
      <c r="W262" s="4" t="s">
        <v>27</v>
      </c>
      <c r="X262" s="6" t="s">
        <v>28</v>
      </c>
      <c r="Y262" s="5">
        <v>1</v>
      </c>
    </row>
    <row r="263" spans="1:25" ht="15" thickBot="1" x14ac:dyDescent="0.35">
      <c r="A263" s="3">
        <v>12084</v>
      </c>
      <c r="B263" s="4" t="s">
        <v>107</v>
      </c>
      <c r="C263" s="4" t="s">
        <v>33</v>
      </c>
      <c r="D263" s="5">
        <v>10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86</v>
      </c>
      <c r="N263" s="5">
        <v>44</v>
      </c>
      <c r="O263" s="5">
        <v>42</v>
      </c>
      <c r="P263" s="5">
        <v>0</v>
      </c>
      <c r="Q263" s="5">
        <v>16</v>
      </c>
      <c r="R263" s="5">
        <v>12</v>
      </c>
      <c r="S263" s="5">
        <v>4</v>
      </c>
      <c r="T263" s="5">
        <v>0</v>
      </c>
      <c r="U263" s="5">
        <v>102</v>
      </c>
      <c r="V263" s="4" t="s">
        <v>73</v>
      </c>
      <c r="W263" s="4" t="s">
        <v>33</v>
      </c>
      <c r="X263" s="4" t="s">
        <v>67</v>
      </c>
      <c r="Y263" s="5">
        <v>2</v>
      </c>
    </row>
    <row r="264" spans="1:25" ht="28.8" x14ac:dyDescent="0.3">
      <c r="A264" s="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5B0E-E2C0-4CD2-8CDC-70FC67102CC9}">
  <dimension ref="A1:C239"/>
  <sheetViews>
    <sheetView topLeftCell="A212" workbookViewId="0">
      <selection sqref="A1:C239"/>
    </sheetView>
  </sheetViews>
  <sheetFormatPr baseColWidth="10" defaultRowHeight="14.4" x14ac:dyDescent="0.3"/>
  <cols>
    <col min="1" max="1" width="20.109375" customWidth="1"/>
    <col min="3" max="3" width="16.44140625" customWidth="1"/>
  </cols>
  <sheetData>
    <row r="1" spans="1:3" ht="15.6" thickTop="1" thickBot="1" x14ac:dyDescent="0.35">
      <c r="A1" s="17" t="s">
        <v>110</v>
      </c>
      <c r="B1" s="18" t="s">
        <v>111</v>
      </c>
      <c r="C1" s="18" t="s">
        <v>112</v>
      </c>
    </row>
    <row r="2" spans="1:3" ht="15" thickBot="1" x14ac:dyDescent="0.35">
      <c r="A2" s="31" t="s">
        <v>113</v>
      </c>
      <c r="B2" s="31"/>
      <c r="C2" s="31"/>
    </row>
    <row r="3" spans="1:3" ht="15.6" thickBot="1" x14ac:dyDescent="0.35">
      <c r="A3" s="11" t="s">
        <v>114</v>
      </c>
      <c r="B3" s="12">
        <v>517</v>
      </c>
      <c r="C3" s="13" t="s">
        <v>115</v>
      </c>
    </row>
    <row r="4" spans="1:3" ht="15.6" thickBot="1" x14ac:dyDescent="0.35">
      <c r="A4" s="14" t="s">
        <v>116</v>
      </c>
      <c r="B4" s="15">
        <v>213</v>
      </c>
      <c r="C4" s="16" t="s">
        <v>117</v>
      </c>
    </row>
    <row r="5" spans="1:3" ht="15.6" thickBot="1" x14ac:dyDescent="0.35">
      <c r="A5" s="11" t="s">
        <v>118</v>
      </c>
      <c r="B5" s="12">
        <v>383</v>
      </c>
      <c r="C5" s="13" t="s">
        <v>119</v>
      </c>
    </row>
    <row r="6" spans="1:3" ht="30.6" thickBot="1" x14ac:dyDescent="0.35">
      <c r="A6" s="14" t="s">
        <v>120</v>
      </c>
      <c r="B6" s="15">
        <v>594</v>
      </c>
      <c r="C6" s="16" t="s">
        <v>121</v>
      </c>
    </row>
    <row r="7" spans="1:3" ht="15.6" thickBot="1" x14ac:dyDescent="0.35">
      <c r="A7" s="11" t="s">
        <v>44</v>
      </c>
      <c r="B7" s="12">
        <v>482</v>
      </c>
      <c r="C7" s="13" t="s">
        <v>122</v>
      </c>
    </row>
    <row r="8" spans="1:3" ht="15.6" thickBot="1" x14ac:dyDescent="0.35">
      <c r="A8" s="14" t="s">
        <v>123</v>
      </c>
      <c r="B8" s="15">
        <v>414</v>
      </c>
      <c r="C8" s="16" t="s">
        <v>124</v>
      </c>
    </row>
    <row r="9" spans="1:3" ht="30.6" thickBot="1" x14ac:dyDescent="0.35">
      <c r="A9" s="11" t="s">
        <v>125</v>
      </c>
      <c r="B9" s="12">
        <v>92</v>
      </c>
      <c r="C9" s="13" t="s">
        <v>126</v>
      </c>
    </row>
    <row r="10" spans="1:3" ht="15.6" thickBot="1" x14ac:dyDescent="0.35">
      <c r="A10" s="14" t="s">
        <v>74</v>
      </c>
      <c r="B10" s="15">
        <v>246</v>
      </c>
      <c r="C10" s="16" t="s">
        <v>127</v>
      </c>
    </row>
    <row r="11" spans="1:3" ht="15.6" thickBot="1" x14ac:dyDescent="0.35">
      <c r="A11" s="11" t="s">
        <v>38</v>
      </c>
      <c r="B11" s="12">
        <v>787</v>
      </c>
      <c r="C11" s="13" t="s">
        <v>128</v>
      </c>
    </row>
    <row r="12" spans="1:3" ht="15" thickBot="1" x14ac:dyDescent="0.35">
      <c r="A12" s="31" t="s">
        <v>129</v>
      </c>
      <c r="B12" s="31"/>
      <c r="C12" s="31"/>
    </row>
    <row r="13" spans="1:3" ht="15.6" thickBot="1" x14ac:dyDescent="0.35">
      <c r="A13" s="14" t="s">
        <v>114</v>
      </c>
      <c r="B13" s="15">
        <v>29</v>
      </c>
      <c r="C13" s="16" t="s">
        <v>130</v>
      </c>
    </row>
    <row r="14" spans="1:3" ht="15.6" thickBot="1" x14ac:dyDescent="0.35">
      <c r="A14" s="11" t="s">
        <v>116</v>
      </c>
      <c r="B14" s="12">
        <v>34</v>
      </c>
      <c r="C14" s="13" t="s">
        <v>131</v>
      </c>
    </row>
    <row r="15" spans="1:3" ht="15.6" thickBot="1" x14ac:dyDescent="0.35">
      <c r="A15" s="14" t="s">
        <v>118</v>
      </c>
      <c r="B15" s="15">
        <v>37</v>
      </c>
      <c r="C15" s="16" t="s">
        <v>132</v>
      </c>
    </row>
    <row r="16" spans="1:3" ht="30.6" thickBot="1" x14ac:dyDescent="0.35">
      <c r="A16" s="11" t="s">
        <v>120</v>
      </c>
      <c r="B16" s="12">
        <v>71</v>
      </c>
      <c r="C16" s="13" t="s">
        <v>133</v>
      </c>
    </row>
    <row r="17" spans="1:3" ht="15.6" thickBot="1" x14ac:dyDescent="0.35">
      <c r="A17" s="14" t="s">
        <v>44</v>
      </c>
      <c r="B17" s="15">
        <v>57</v>
      </c>
      <c r="C17" s="16" t="s">
        <v>134</v>
      </c>
    </row>
    <row r="18" spans="1:3" ht="15.6" thickBot="1" x14ac:dyDescent="0.35">
      <c r="A18" s="11" t="s">
        <v>123</v>
      </c>
      <c r="B18" s="12">
        <v>48</v>
      </c>
      <c r="C18" s="13" t="s">
        <v>135</v>
      </c>
    </row>
    <row r="19" spans="1:3" ht="30.6" thickBot="1" x14ac:dyDescent="0.35">
      <c r="A19" s="14" t="s">
        <v>125</v>
      </c>
      <c r="B19" s="15">
        <v>3</v>
      </c>
      <c r="C19" s="16" t="s">
        <v>136</v>
      </c>
    </row>
    <row r="20" spans="1:3" ht="15.6" thickBot="1" x14ac:dyDescent="0.35">
      <c r="A20" s="11" t="s">
        <v>74</v>
      </c>
      <c r="B20" s="12">
        <v>22</v>
      </c>
      <c r="C20" s="13" t="s">
        <v>137</v>
      </c>
    </row>
    <row r="21" spans="1:3" ht="15.6" thickBot="1" x14ac:dyDescent="0.35">
      <c r="A21" s="14" t="s">
        <v>38</v>
      </c>
      <c r="B21" s="15">
        <v>64</v>
      </c>
      <c r="C21" s="16" t="s">
        <v>138</v>
      </c>
    </row>
    <row r="22" spans="1:3" ht="15" thickBot="1" x14ac:dyDescent="0.35">
      <c r="A22" s="31" t="s">
        <v>139</v>
      </c>
      <c r="B22" s="31"/>
      <c r="C22" s="31"/>
    </row>
    <row r="23" spans="1:3" ht="15.6" thickBot="1" x14ac:dyDescent="0.35">
      <c r="A23" s="11" t="s">
        <v>114</v>
      </c>
      <c r="B23" s="12">
        <v>37</v>
      </c>
      <c r="C23" s="13" t="s">
        <v>132</v>
      </c>
    </row>
    <row r="24" spans="1:3" ht="15.6" thickBot="1" x14ac:dyDescent="0.35">
      <c r="A24" s="14" t="s">
        <v>116</v>
      </c>
      <c r="B24" s="15">
        <v>18</v>
      </c>
      <c r="C24" s="16" t="s">
        <v>140</v>
      </c>
    </row>
    <row r="25" spans="1:3" ht="15.6" thickBot="1" x14ac:dyDescent="0.35">
      <c r="A25" s="11" t="s">
        <v>118</v>
      </c>
      <c r="B25" s="12">
        <v>35</v>
      </c>
      <c r="C25" s="13" t="s">
        <v>141</v>
      </c>
    </row>
    <row r="26" spans="1:3" ht="30.6" thickBot="1" x14ac:dyDescent="0.35">
      <c r="A26" s="14" t="s">
        <v>120</v>
      </c>
      <c r="B26" s="15">
        <v>67</v>
      </c>
      <c r="C26" s="16" t="s">
        <v>142</v>
      </c>
    </row>
    <row r="27" spans="1:3" ht="15.6" thickBot="1" x14ac:dyDescent="0.35">
      <c r="A27" s="11" t="s">
        <v>44</v>
      </c>
      <c r="B27" s="12">
        <v>51</v>
      </c>
      <c r="C27" s="13" t="s">
        <v>143</v>
      </c>
    </row>
    <row r="28" spans="1:3" ht="15.6" thickBot="1" x14ac:dyDescent="0.35">
      <c r="A28" s="14" t="s">
        <v>123</v>
      </c>
      <c r="B28" s="15">
        <v>37</v>
      </c>
      <c r="C28" s="16" t="s">
        <v>132</v>
      </c>
    </row>
    <row r="29" spans="1:3" ht="30.6" thickBot="1" x14ac:dyDescent="0.35">
      <c r="A29" s="11" t="s">
        <v>125</v>
      </c>
      <c r="B29" s="12">
        <v>12</v>
      </c>
      <c r="C29" s="13" t="s">
        <v>144</v>
      </c>
    </row>
    <row r="30" spans="1:3" ht="15.6" thickBot="1" x14ac:dyDescent="0.35">
      <c r="A30" s="14" t="s">
        <v>74</v>
      </c>
      <c r="B30" s="15">
        <v>12</v>
      </c>
      <c r="C30" s="16" t="s">
        <v>144</v>
      </c>
    </row>
    <row r="31" spans="1:3" ht="15.6" thickBot="1" x14ac:dyDescent="0.35">
      <c r="A31" s="11" t="s">
        <v>38</v>
      </c>
      <c r="B31" s="12">
        <v>96</v>
      </c>
      <c r="C31" s="13" t="s">
        <v>145</v>
      </c>
    </row>
    <row r="32" spans="1:3" ht="15" thickBot="1" x14ac:dyDescent="0.35">
      <c r="A32" s="31" t="s">
        <v>146</v>
      </c>
      <c r="B32" s="31"/>
      <c r="C32" s="31"/>
    </row>
    <row r="33" spans="1:3" ht="15.6" thickBot="1" x14ac:dyDescent="0.35">
      <c r="A33" s="14" t="s">
        <v>114</v>
      </c>
      <c r="B33" s="15">
        <v>62</v>
      </c>
      <c r="C33" s="16" t="s">
        <v>147</v>
      </c>
    </row>
    <row r="34" spans="1:3" ht="15.6" thickBot="1" x14ac:dyDescent="0.35">
      <c r="A34" s="11" t="s">
        <v>116</v>
      </c>
      <c r="B34" s="12">
        <v>33</v>
      </c>
      <c r="C34" s="13" t="s">
        <v>148</v>
      </c>
    </row>
    <row r="35" spans="1:3" ht="15.6" thickBot="1" x14ac:dyDescent="0.35">
      <c r="A35" s="14" t="s">
        <v>118</v>
      </c>
      <c r="B35" s="15">
        <v>79</v>
      </c>
      <c r="C35" s="16" t="s">
        <v>149</v>
      </c>
    </row>
    <row r="36" spans="1:3" ht="30.6" thickBot="1" x14ac:dyDescent="0.35">
      <c r="A36" s="11" t="s">
        <v>120</v>
      </c>
      <c r="B36" s="12">
        <v>92</v>
      </c>
      <c r="C36" s="13" t="s">
        <v>126</v>
      </c>
    </row>
    <row r="37" spans="1:3" ht="15.6" thickBot="1" x14ac:dyDescent="0.35">
      <c r="A37" s="14" t="s">
        <v>44</v>
      </c>
      <c r="B37" s="15">
        <v>46</v>
      </c>
      <c r="C37" s="16" t="s">
        <v>150</v>
      </c>
    </row>
    <row r="38" spans="1:3" ht="15.6" thickBot="1" x14ac:dyDescent="0.35">
      <c r="A38" s="11" t="s">
        <v>123</v>
      </c>
      <c r="B38" s="12">
        <v>63</v>
      </c>
      <c r="C38" s="13" t="s">
        <v>151</v>
      </c>
    </row>
    <row r="39" spans="1:3" ht="30.6" thickBot="1" x14ac:dyDescent="0.35">
      <c r="A39" s="14" t="s">
        <v>125</v>
      </c>
      <c r="B39" s="15">
        <v>15</v>
      </c>
      <c r="C39" s="16" t="s">
        <v>152</v>
      </c>
    </row>
    <row r="40" spans="1:3" ht="15.6" thickBot="1" x14ac:dyDescent="0.35">
      <c r="A40" s="11" t="s">
        <v>74</v>
      </c>
      <c r="B40" s="12">
        <v>24</v>
      </c>
      <c r="C40" s="13" t="s">
        <v>153</v>
      </c>
    </row>
    <row r="41" spans="1:3" ht="15.6" thickBot="1" x14ac:dyDescent="0.35">
      <c r="A41" s="14" t="s">
        <v>38</v>
      </c>
      <c r="B41" s="15">
        <v>87</v>
      </c>
      <c r="C41" s="16" t="s">
        <v>154</v>
      </c>
    </row>
    <row r="42" spans="1:3" ht="15" thickBot="1" x14ac:dyDescent="0.35">
      <c r="A42" s="31" t="s">
        <v>155</v>
      </c>
      <c r="B42" s="31"/>
      <c r="C42" s="31"/>
    </row>
    <row r="43" spans="1:3" ht="15.6" thickBot="1" x14ac:dyDescent="0.35">
      <c r="A43" s="11" t="s">
        <v>114</v>
      </c>
      <c r="B43" s="12">
        <v>20</v>
      </c>
      <c r="C43" s="13" t="s">
        <v>156</v>
      </c>
    </row>
    <row r="44" spans="1:3" ht="15.6" thickBot="1" x14ac:dyDescent="0.35">
      <c r="A44" s="14" t="s">
        <v>116</v>
      </c>
      <c r="B44" s="15">
        <v>18</v>
      </c>
      <c r="C44" s="16" t="s">
        <v>140</v>
      </c>
    </row>
    <row r="45" spans="1:3" ht="15.6" thickBot="1" x14ac:dyDescent="0.35">
      <c r="A45" s="11" t="s">
        <v>118</v>
      </c>
      <c r="B45" s="12">
        <v>3</v>
      </c>
      <c r="C45" s="13" t="s">
        <v>136</v>
      </c>
    </row>
    <row r="46" spans="1:3" ht="30.6" thickBot="1" x14ac:dyDescent="0.35">
      <c r="A46" s="14" t="s">
        <v>120</v>
      </c>
      <c r="B46" s="15">
        <v>40</v>
      </c>
      <c r="C46" s="16" t="s">
        <v>157</v>
      </c>
    </row>
    <row r="47" spans="1:3" ht="15.6" thickBot="1" x14ac:dyDescent="0.35">
      <c r="A47" s="11" t="s">
        <v>44</v>
      </c>
      <c r="B47" s="12">
        <v>43</v>
      </c>
      <c r="C47" s="13" t="s">
        <v>158</v>
      </c>
    </row>
    <row r="48" spans="1:3" ht="15.6" thickBot="1" x14ac:dyDescent="0.35">
      <c r="A48" s="14" t="s">
        <v>123</v>
      </c>
      <c r="B48" s="15">
        <v>20</v>
      </c>
      <c r="C48" s="16" t="s">
        <v>156</v>
      </c>
    </row>
    <row r="49" spans="1:3" ht="30.6" thickBot="1" x14ac:dyDescent="0.35">
      <c r="A49" s="11" t="s">
        <v>125</v>
      </c>
      <c r="B49" s="12">
        <v>2</v>
      </c>
      <c r="C49" s="13" t="s">
        <v>159</v>
      </c>
    </row>
    <row r="50" spans="1:3" ht="15.6" thickBot="1" x14ac:dyDescent="0.35">
      <c r="A50" s="14" t="s">
        <v>74</v>
      </c>
      <c r="B50" s="15">
        <v>9</v>
      </c>
      <c r="C50" s="16" t="s">
        <v>160</v>
      </c>
    </row>
    <row r="51" spans="1:3" ht="15.6" thickBot="1" x14ac:dyDescent="0.35">
      <c r="A51" s="11" t="s">
        <v>38</v>
      </c>
      <c r="B51" s="12">
        <v>26</v>
      </c>
      <c r="C51" s="13" t="s">
        <v>161</v>
      </c>
    </row>
    <row r="52" spans="1:3" ht="15" thickBot="1" x14ac:dyDescent="0.35">
      <c r="A52" s="31" t="s">
        <v>162</v>
      </c>
      <c r="B52" s="31"/>
      <c r="C52" s="31"/>
    </row>
    <row r="53" spans="1:3" ht="15.6" thickBot="1" x14ac:dyDescent="0.35">
      <c r="A53" s="14" t="s">
        <v>114</v>
      </c>
      <c r="B53" s="15">
        <v>152</v>
      </c>
      <c r="C53" s="16" t="s">
        <v>163</v>
      </c>
    </row>
    <row r="54" spans="1:3" ht="15.6" thickBot="1" x14ac:dyDescent="0.35">
      <c r="A54" s="11" t="s">
        <v>116</v>
      </c>
      <c r="B54" s="12">
        <v>108</v>
      </c>
      <c r="C54" s="13" t="s">
        <v>164</v>
      </c>
    </row>
    <row r="55" spans="1:3" ht="15.6" thickBot="1" x14ac:dyDescent="0.35">
      <c r="A55" s="14" t="s">
        <v>118</v>
      </c>
      <c r="B55" s="15">
        <v>154</v>
      </c>
      <c r="C55" s="16" t="s">
        <v>165</v>
      </c>
    </row>
    <row r="56" spans="1:3" ht="30.6" thickBot="1" x14ac:dyDescent="0.35">
      <c r="A56" s="11" t="s">
        <v>120</v>
      </c>
      <c r="B56" s="12">
        <v>371</v>
      </c>
      <c r="C56" s="13" t="s">
        <v>166</v>
      </c>
    </row>
    <row r="57" spans="1:3" ht="15.6" thickBot="1" x14ac:dyDescent="0.35">
      <c r="A57" s="14" t="s">
        <v>44</v>
      </c>
      <c r="B57" s="15">
        <v>213</v>
      </c>
      <c r="C57" s="16" t="s">
        <v>117</v>
      </c>
    </row>
    <row r="58" spans="1:3" ht="15.6" thickBot="1" x14ac:dyDescent="0.35">
      <c r="A58" s="11" t="s">
        <v>123</v>
      </c>
      <c r="B58" s="12">
        <v>179</v>
      </c>
      <c r="C58" s="13" t="s">
        <v>167</v>
      </c>
    </row>
    <row r="59" spans="1:3" ht="30.6" thickBot="1" x14ac:dyDescent="0.35">
      <c r="A59" s="14" t="s">
        <v>125</v>
      </c>
      <c r="B59" s="15">
        <v>27</v>
      </c>
      <c r="C59" s="16" t="s">
        <v>168</v>
      </c>
    </row>
    <row r="60" spans="1:3" ht="15.6" thickBot="1" x14ac:dyDescent="0.35">
      <c r="A60" s="11" t="s">
        <v>74</v>
      </c>
      <c r="B60" s="12">
        <v>96</v>
      </c>
      <c r="C60" s="13" t="s">
        <v>145</v>
      </c>
    </row>
    <row r="61" spans="1:3" ht="15.6" thickBot="1" x14ac:dyDescent="0.35">
      <c r="A61" s="14" t="s">
        <v>38</v>
      </c>
      <c r="B61" s="15">
        <v>418</v>
      </c>
      <c r="C61" s="16" t="s">
        <v>169</v>
      </c>
    </row>
    <row r="62" spans="1:3" ht="15" thickBot="1" x14ac:dyDescent="0.35">
      <c r="A62" s="31" t="s">
        <v>170</v>
      </c>
      <c r="B62" s="31"/>
      <c r="C62" s="31"/>
    </row>
    <row r="63" spans="1:3" ht="15.6" thickBot="1" x14ac:dyDescent="0.35">
      <c r="A63" s="11" t="s">
        <v>114</v>
      </c>
      <c r="B63" s="12">
        <v>66</v>
      </c>
      <c r="C63" s="13" t="s">
        <v>171</v>
      </c>
    </row>
    <row r="64" spans="1:3" ht="15.6" thickBot="1" x14ac:dyDescent="0.35">
      <c r="A64" s="14" t="s">
        <v>116</v>
      </c>
      <c r="B64" s="15">
        <v>41</v>
      </c>
      <c r="C64" s="16" t="s">
        <v>172</v>
      </c>
    </row>
    <row r="65" spans="1:3" ht="15.6" thickBot="1" x14ac:dyDescent="0.35">
      <c r="A65" s="11" t="s">
        <v>118</v>
      </c>
      <c r="B65" s="12">
        <v>68</v>
      </c>
      <c r="C65" s="13" t="s">
        <v>173</v>
      </c>
    </row>
    <row r="66" spans="1:3" ht="30.6" thickBot="1" x14ac:dyDescent="0.35">
      <c r="A66" s="14" t="s">
        <v>120</v>
      </c>
      <c r="B66" s="15">
        <v>127</v>
      </c>
      <c r="C66" s="16" t="s">
        <v>174</v>
      </c>
    </row>
    <row r="67" spans="1:3" ht="15.6" thickBot="1" x14ac:dyDescent="0.35">
      <c r="A67" s="11" t="s">
        <v>44</v>
      </c>
      <c r="B67" s="12">
        <v>90</v>
      </c>
      <c r="C67" s="13" t="s">
        <v>175</v>
      </c>
    </row>
    <row r="68" spans="1:3" ht="15.6" thickBot="1" x14ac:dyDescent="0.35">
      <c r="A68" s="14" t="s">
        <v>123</v>
      </c>
      <c r="B68" s="15">
        <v>52</v>
      </c>
      <c r="C68" s="16" t="s">
        <v>176</v>
      </c>
    </row>
    <row r="69" spans="1:3" ht="30.6" thickBot="1" x14ac:dyDescent="0.35">
      <c r="A69" s="11" t="s">
        <v>125</v>
      </c>
      <c r="B69" s="12">
        <v>6</v>
      </c>
      <c r="C69" s="13" t="s">
        <v>177</v>
      </c>
    </row>
    <row r="70" spans="1:3" ht="15.6" thickBot="1" x14ac:dyDescent="0.35">
      <c r="A70" s="14" t="s">
        <v>74</v>
      </c>
      <c r="B70" s="15">
        <v>35</v>
      </c>
      <c r="C70" s="16" t="s">
        <v>141</v>
      </c>
    </row>
    <row r="71" spans="1:3" ht="15.6" thickBot="1" x14ac:dyDescent="0.35">
      <c r="A71" s="11" t="s">
        <v>38</v>
      </c>
      <c r="B71" s="12">
        <v>135</v>
      </c>
      <c r="C71" s="13" t="s">
        <v>178</v>
      </c>
    </row>
    <row r="72" spans="1:3" ht="15" thickBot="1" x14ac:dyDescent="0.35">
      <c r="A72" s="31" t="s">
        <v>179</v>
      </c>
      <c r="B72" s="31"/>
      <c r="C72" s="31"/>
    </row>
    <row r="73" spans="1:3" ht="15.6" thickBot="1" x14ac:dyDescent="0.35">
      <c r="A73" s="14" t="s">
        <v>114</v>
      </c>
      <c r="B73" s="15">
        <v>91</v>
      </c>
      <c r="C73" s="16" t="s">
        <v>180</v>
      </c>
    </row>
    <row r="74" spans="1:3" ht="15.6" thickBot="1" x14ac:dyDescent="0.35">
      <c r="A74" s="11" t="s">
        <v>116</v>
      </c>
      <c r="B74" s="12">
        <v>30</v>
      </c>
      <c r="C74" s="13" t="s">
        <v>181</v>
      </c>
    </row>
    <row r="75" spans="1:3" ht="15.6" thickBot="1" x14ac:dyDescent="0.35">
      <c r="A75" s="14" t="s">
        <v>118</v>
      </c>
      <c r="B75" s="15">
        <v>83</v>
      </c>
      <c r="C75" s="16" t="s">
        <v>182</v>
      </c>
    </row>
    <row r="76" spans="1:3" ht="30.6" thickBot="1" x14ac:dyDescent="0.35">
      <c r="A76" s="11" t="s">
        <v>120</v>
      </c>
      <c r="B76" s="12">
        <v>144</v>
      </c>
      <c r="C76" s="13" t="s">
        <v>183</v>
      </c>
    </row>
    <row r="77" spans="1:3" ht="15.6" thickBot="1" x14ac:dyDescent="0.35">
      <c r="A77" s="14" t="s">
        <v>44</v>
      </c>
      <c r="B77" s="15">
        <v>107</v>
      </c>
      <c r="C77" s="16" t="s">
        <v>184</v>
      </c>
    </row>
    <row r="78" spans="1:3" ht="15.6" thickBot="1" x14ac:dyDescent="0.35">
      <c r="A78" s="11" t="s">
        <v>123</v>
      </c>
      <c r="B78" s="12">
        <v>101</v>
      </c>
      <c r="C78" s="13" t="s">
        <v>185</v>
      </c>
    </row>
    <row r="79" spans="1:3" ht="30.6" thickBot="1" x14ac:dyDescent="0.35">
      <c r="A79" s="14" t="s">
        <v>125</v>
      </c>
      <c r="B79" s="15">
        <v>12</v>
      </c>
      <c r="C79" s="16" t="s">
        <v>144</v>
      </c>
    </row>
    <row r="80" spans="1:3" ht="15.6" thickBot="1" x14ac:dyDescent="0.35">
      <c r="A80" s="11" t="s">
        <v>74</v>
      </c>
      <c r="B80" s="12">
        <v>49</v>
      </c>
      <c r="C80" s="13" t="s">
        <v>186</v>
      </c>
    </row>
    <row r="81" spans="1:3" ht="15.6" thickBot="1" x14ac:dyDescent="0.35">
      <c r="A81" s="14" t="s">
        <v>38</v>
      </c>
      <c r="B81" s="15">
        <v>138</v>
      </c>
      <c r="C81" s="16" t="s">
        <v>187</v>
      </c>
    </row>
    <row r="82" spans="1:3" ht="15" thickBot="1" x14ac:dyDescent="0.35">
      <c r="A82" s="31" t="s">
        <v>188</v>
      </c>
      <c r="B82" s="31"/>
      <c r="C82" s="31"/>
    </row>
    <row r="83" spans="1:3" ht="15.6" thickBot="1" x14ac:dyDescent="0.35">
      <c r="A83" s="11" t="s">
        <v>114</v>
      </c>
      <c r="B83" s="12">
        <v>24</v>
      </c>
      <c r="C83" s="13" t="s">
        <v>153</v>
      </c>
    </row>
    <row r="84" spans="1:3" ht="15.6" thickBot="1" x14ac:dyDescent="0.35">
      <c r="A84" s="14" t="s">
        <v>116</v>
      </c>
      <c r="B84" s="15">
        <v>12</v>
      </c>
      <c r="C84" s="16" t="s">
        <v>144</v>
      </c>
    </row>
    <row r="85" spans="1:3" ht="15.6" thickBot="1" x14ac:dyDescent="0.35">
      <c r="A85" s="11" t="s">
        <v>118</v>
      </c>
      <c r="B85" s="12">
        <v>26</v>
      </c>
      <c r="C85" s="13" t="s">
        <v>161</v>
      </c>
    </row>
    <row r="86" spans="1:3" ht="30.6" thickBot="1" x14ac:dyDescent="0.35">
      <c r="A86" s="14" t="s">
        <v>120</v>
      </c>
      <c r="B86" s="15">
        <v>70</v>
      </c>
      <c r="C86" s="16" t="s">
        <v>189</v>
      </c>
    </row>
    <row r="87" spans="1:3" ht="15.6" thickBot="1" x14ac:dyDescent="0.35">
      <c r="A87" s="11" t="s">
        <v>44</v>
      </c>
      <c r="B87" s="12">
        <v>23</v>
      </c>
      <c r="C87" s="13" t="s">
        <v>190</v>
      </c>
    </row>
    <row r="88" spans="1:3" ht="15.6" thickBot="1" x14ac:dyDescent="0.35">
      <c r="A88" s="14" t="s">
        <v>123</v>
      </c>
      <c r="B88" s="15">
        <v>22</v>
      </c>
      <c r="C88" s="16" t="s">
        <v>137</v>
      </c>
    </row>
    <row r="89" spans="1:3" ht="15.6" thickBot="1" x14ac:dyDescent="0.35">
      <c r="A89" s="11" t="s">
        <v>74</v>
      </c>
      <c r="B89" s="12">
        <v>11</v>
      </c>
      <c r="C89" s="13" t="s">
        <v>191</v>
      </c>
    </row>
    <row r="90" spans="1:3" ht="15.6" thickBot="1" x14ac:dyDescent="0.35">
      <c r="A90" s="14" t="s">
        <v>38</v>
      </c>
      <c r="B90" s="15">
        <v>51</v>
      </c>
      <c r="C90" s="16" t="s">
        <v>143</v>
      </c>
    </row>
    <row r="91" spans="1:3" ht="15" thickBot="1" x14ac:dyDescent="0.35">
      <c r="A91" s="31" t="s">
        <v>192</v>
      </c>
      <c r="B91" s="31"/>
      <c r="C91" s="31"/>
    </row>
    <row r="92" spans="1:3" ht="15.6" thickBot="1" x14ac:dyDescent="0.35">
      <c r="A92" s="11" t="s">
        <v>114</v>
      </c>
      <c r="B92" s="12">
        <v>85</v>
      </c>
      <c r="C92" s="13" t="s">
        <v>193</v>
      </c>
    </row>
    <row r="93" spans="1:3" ht="15.6" thickBot="1" x14ac:dyDescent="0.35">
      <c r="A93" s="14" t="s">
        <v>116</v>
      </c>
      <c r="B93" s="15">
        <v>79</v>
      </c>
      <c r="C93" s="16" t="s">
        <v>149</v>
      </c>
    </row>
    <row r="94" spans="1:3" ht="15.6" thickBot="1" x14ac:dyDescent="0.35">
      <c r="A94" s="11" t="s">
        <v>118</v>
      </c>
      <c r="B94" s="12">
        <v>70</v>
      </c>
      <c r="C94" s="13" t="s">
        <v>189</v>
      </c>
    </row>
    <row r="95" spans="1:3" ht="30.6" thickBot="1" x14ac:dyDescent="0.35">
      <c r="A95" s="14" t="s">
        <v>120</v>
      </c>
      <c r="B95" s="15">
        <v>125</v>
      </c>
      <c r="C95" s="16" t="s">
        <v>194</v>
      </c>
    </row>
    <row r="96" spans="1:3" ht="15.6" thickBot="1" x14ac:dyDescent="0.35">
      <c r="A96" s="11" t="s">
        <v>44</v>
      </c>
      <c r="B96" s="12">
        <v>124</v>
      </c>
      <c r="C96" s="13" t="s">
        <v>195</v>
      </c>
    </row>
    <row r="97" spans="1:3" ht="15.6" thickBot="1" x14ac:dyDescent="0.35">
      <c r="A97" s="14" t="s">
        <v>123</v>
      </c>
      <c r="B97" s="15">
        <v>65</v>
      </c>
      <c r="C97" s="16" t="s">
        <v>196</v>
      </c>
    </row>
    <row r="98" spans="1:3" ht="30.6" thickBot="1" x14ac:dyDescent="0.35">
      <c r="A98" s="11" t="s">
        <v>125</v>
      </c>
      <c r="B98" s="12">
        <v>13</v>
      </c>
      <c r="C98" s="13" t="s">
        <v>197</v>
      </c>
    </row>
    <row r="99" spans="1:3" ht="15.6" thickBot="1" x14ac:dyDescent="0.35">
      <c r="A99" s="14" t="s">
        <v>74</v>
      </c>
      <c r="B99" s="15">
        <v>22</v>
      </c>
      <c r="C99" s="16" t="s">
        <v>137</v>
      </c>
    </row>
    <row r="100" spans="1:3" ht="15.6" thickBot="1" x14ac:dyDescent="0.35">
      <c r="A100" s="11" t="s">
        <v>38</v>
      </c>
      <c r="B100" s="12">
        <v>93</v>
      </c>
      <c r="C100" s="13" t="s">
        <v>198</v>
      </c>
    </row>
    <row r="101" spans="1:3" ht="15" thickBot="1" x14ac:dyDescent="0.35">
      <c r="A101" s="31" t="s">
        <v>199</v>
      </c>
      <c r="B101" s="31"/>
      <c r="C101" s="31"/>
    </row>
    <row r="102" spans="1:3" ht="15.6" thickBot="1" x14ac:dyDescent="0.35">
      <c r="A102" s="14" t="s">
        <v>114</v>
      </c>
      <c r="B102" s="15">
        <v>17</v>
      </c>
      <c r="C102" s="16" t="s">
        <v>200</v>
      </c>
    </row>
    <row r="103" spans="1:3" ht="15.6" thickBot="1" x14ac:dyDescent="0.35">
      <c r="A103" s="11" t="s">
        <v>116</v>
      </c>
      <c r="B103" s="12">
        <v>16</v>
      </c>
      <c r="C103" s="13" t="s">
        <v>201</v>
      </c>
    </row>
    <row r="104" spans="1:3" ht="15.6" thickBot="1" x14ac:dyDescent="0.35">
      <c r="A104" s="14" t="s">
        <v>118</v>
      </c>
      <c r="B104" s="15">
        <v>16</v>
      </c>
      <c r="C104" s="16" t="s">
        <v>201</v>
      </c>
    </row>
    <row r="105" spans="1:3" ht="30.6" thickBot="1" x14ac:dyDescent="0.35">
      <c r="A105" s="11" t="s">
        <v>120</v>
      </c>
      <c r="B105" s="12">
        <v>37</v>
      </c>
      <c r="C105" s="13" t="s">
        <v>132</v>
      </c>
    </row>
    <row r="106" spans="1:3" ht="15.6" thickBot="1" x14ac:dyDescent="0.35">
      <c r="A106" s="14" t="s">
        <v>44</v>
      </c>
      <c r="B106" s="15">
        <v>29</v>
      </c>
      <c r="C106" s="16" t="s">
        <v>130</v>
      </c>
    </row>
    <row r="107" spans="1:3" ht="15.6" thickBot="1" x14ac:dyDescent="0.35">
      <c r="A107" s="11" t="s">
        <v>123</v>
      </c>
      <c r="B107" s="12">
        <v>24</v>
      </c>
      <c r="C107" s="13" t="s">
        <v>153</v>
      </c>
    </row>
    <row r="108" spans="1:3" ht="30.6" thickBot="1" x14ac:dyDescent="0.35">
      <c r="A108" s="14" t="s">
        <v>125</v>
      </c>
      <c r="B108" s="15">
        <v>2</v>
      </c>
      <c r="C108" s="16" t="s">
        <v>159</v>
      </c>
    </row>
    <row r="109" spans="1:3" ht="15.6" thickBot="1" x14ac:dyDescent="0.35">
      <c r="A109" s="11" t="s">
        <v>74</v>
      </c>
      <c r="B109" s="12">
        <v>7</v>
      </c>
      <c r="C109" s="13" t="s">
        <v>202</v>
      </c>
    </row>
    <row r="110" spans="1:3" ht="15.6" thickBot="1" x14ac:dyDescent="0.35">
      <c r="A110" s="14" t="s">
        <v>38</v>
      </c>
      <c r="B110" s="15">
        <v>41</v>
      </c>
      <c r="C110" s="16" t="s">
        <v>172</v>
      </c>
    </row>
    <row r="111" spans="1:3" ht="15" thickBot="1" x14ac:dyDescent="0.35">
      <c r="A111" s="31" t="s">
        <v>203</v>
      </c>
      <c r="B111" s="31"/>
      <c r="C111" s="31"/>
    </row>
    <row r="112" spans="1:3" ht="15.6" thickBot="1" x14ac:dyDescent="0.35">
      <c r="A112" s="11" t="s">
        <v>114</v>
      </c>
      <c r="B112" s="12">
        <v>28</v>
      </c>
      <c r="C112" s="13" t="s">
        <v>204</v>
      </c>
    </row>
    <row r="113" spans="1:3" ht="15.6" thickBot="1" x14ac:dyDescent="0.35">
      <c r="A113" s="14" t="s">
        <v>116</v>
      </c>
      <c r="B113" s="15">
        <v>17</v>
      </c>
      <c r="C113" s="16" t="s">
        <v>200</v>
      </c>
    </row>
    <row r="114" spans="1:3" ht="15.6" thickBot="1" x14ac:dyDescent="0.35">
      <c r="A114" s="11" t="s">
        <v>118</v>
      </c>
      <c r="B114" s="12">
        <v>35</v>
      </c>
      <c r="C114" s="13" t="s">
        <v>141</v>
      </c>
    </row>
    <row r="115" spans="1:3" ht="30.6" thickBot="1" x14ac:dyDescent="0.35">
      <c r="A115" s="14" t="s">
        <v>120</v>
      </c>
      <c r="B115" s="15">
        <v>55</v>
      </c>
      <c r="C115" s="16" t="s">
        <v>205</v>
      </c>
    </row>
    <row r="116" spans="1:3" ht="15.6" thickBot="1" x14ac:dyDescent="0.35">
      <c r="A116" s="11" t="s">
        <v>44</v>
      </c>
      <c r="B116" s="12">
        <v>32</v>
      </c>
      <c r="C116" s="13" t="s">
        <v>206</v>
      </c>
    </row>
    <row r="117" spans="1:3" ht="15.6" thickBot="1" x14ac:dyDescent="0.35">
      <c r="A117" s="14" t="s">
        <v>123</v>
      </c>
      <c r="B117" s="15">
        <v>24</v>
      </c>
      <c r="C117" s="16" t="s">
        <v>153</v>
      </c>
    </row>
    <row r="118" spans="1:3" ht="30.6" thickBot="1" x14ac:dyDescent="0.35">
      <c r="A118" s="11" t="s">
        <v>125</v>
      </c>
      <c r="B118" s="12">
        <v>1</v>
      </c>
      <c r="C118" s="13" t="s">
        <v>207</v>
      </c>
    </row>
    <row r="119" spans="1:3" ht="15.6" thickBot="1" x14ac:dyDescent="0.35">
      <c r="A119" s="14" t="s">
        <v>74</v>
      </c>
      <c r="B119" s="15">
        <v>16</v>
      </c>
      <c r="C119" s="16" t="s">
        <v>201</v>
      </c>
    </row>
    <row r="120" spans="1:3" ht="15.6" thickBot="1" x14ac:dyDescent="0.35">
      <c r="A120" s="11" t="s">
        <v>38</v>
      </c>
      <c r="B120" s="12">
        <v>74</v>
      </c>
      <c r="C120" s="13" t="s">
        <v>208</v>
      </c>
    </row>
    <row r="121" spans="1:3" ht="15" thickBot="1" x14ac:dyDescent="0.35">
      <c r="A121" s="31" t="s">
        <v>209</v>
      </c>
      <c r="B121" s="31"/>
      <c r="C121" s="31"/>
    </row>
    <row r="122" spans="1:3" ht="15.6" thickBot="1" x14ac:dyDescent="0.35">
      <c r="A122" s="14" t="s">
        <v>114</v>
      </c>
      <c r="B122" s="15">
        <v>58</v>
      </c>
      <c r="C122" s="16" t="s">
        <v>210</v>
      </c>
    </row>
    <row r="123" spans="1:3" ht="15.6" thickBot="1" x14ac:dyDescent="0.35">
      <c r="A123" s="11" t="s">
        <v>116</v>
      </c>
      <c r="B123" s="12">
        <v>43</v>
      </c>
      <c r="C123" s="13" t="s">
        <v>158</v>
      </c>
    </row>
    <row r="124" spans="1:3" ht="15.6" thickBot="1" x14ac:dyDescent="0.35">
      <c r="A124" s="14" t="s">
        <v>118</v>
      </c>
      <c r="B124" s="15">
        <v>63</v>
      </c>
      <c r="C124" s="16" t="s">
        <v>151</v>
      </c>
    </row>
    <row r="125" spans="1:3" ht="30.6" thickBot="1" x14ac:dyDescent="0.35">
      <c r="A125" s="11" t="s">
        <v>120</v>
      </c>
      <c r="B125" s="12">
        <v>78</v>
      </c>
      <c r="C125" s="13" t="s">
        <v>211</v>
      </c>
    </row>
    <row r="126" spans="1:3" ht="15.6" thickBot="1" x14ac:dyDescent="0.35">
      <c r="A126" s="14" t="s">
        <v>44</v>
      </c>
      <c r="B126" s="15">
        <v>84</v>
      </c>
      <c r="C126" s="16" t="s">
        <v>212</v>
      </c>
    </row>
    <row r="127" spans="1:3" ht="15.6" thickBot="1" x14ac:dyDescent="0.35">
      <c r="A127" s="11" t="s">
        <v>123</v>
      </c>
      <c r="B127" s="12">
        <v>57</v>
      </c>
      <c r="C127" s="13" t="s">
        <v>134</v>
      </c>
    </row>
    <row r="128" spans="1:3" ht="30.6" thickBot="1" x14ac:dyDescent="0.35">
      <c r="A128" s="14" t="s">
        <v>125</v>
      </c>
      <c r="B128" s="15">
        <v>18</v>
      </c>
      <c r="C128" s="16" t="s">
        <v>140</v>
      </c>
    </row>
    <row r="129" spans="1:3" ht="15.6" thickBot="1" x14ac:dyDescent="0.35">
      <c r="A129" s="11" t="s">
        <v>74</v>
      </c>
      <c r="B129" s="12">
        <v>33</v>
      </c>
      <c r="C129" s="13" t="s">
        <v>148</v>
      </c>
    </row>
    <row r="130" spans="1:3" ht="15.6" thickBot="1" x14ac:dyDescent="0.35">
      <c r="A130" s="14" t="s">
        <v>38</v>
      </c>
      <c r="B130" s="15">
        <v>66</v>
      </c>
      <c r="C130" s="16" t="s">
        <v>171</v>
      </c>
    </row>
    <row r="131" spans="1:3" ht="15" thickBot="1" x14ac:dyDescent="0.35">
      <c r="A131" s="31" t="s">
        <v>213</v>
      </c>
      <c r="B131" s="31"/>
      <c r="C131" s="31"/>
    </row>
    <row r="132" spans="1:3" ht="15.6" thickBot="1" x14ac:dyDescent="0.35">
      <c r="A132" s="11" t="s">
        <v>114</v>
      </c>
      <c r="B132" s="12">
        <v>43</v>
      </c>
      <c r="C132" s="13" t="s">
        <v>158</v>
      </c>
    </row>
    <row r="133" spans="1:3" ht="15.6" thickBot="1" x14ac:dyDescent="0.35">
      <c r="A133" s="14" t="s">
        <v>116</v>
      </c>
      <c r="B133" s="15">
        <v>30</v>
      </c>
      <c r="C133" s="16" t="s">
        <v>181</v>
      </c>
    </row>
    <row r="134" spans="1:3" ht="15.6" thickBot="1" x14ac:dyDescent="0.35">
      <c r="A134" s="11" t="s">
        <v>118</v>
      </c>
      <c r="B134" s="12">
        <v>61</v>
      </c>
      <c r="C134" s="13" t="s">
        <v>214</v>
      </c>
    </row>
    <row r="135" spans="1:3" ht="30.6" thickBot="1" x14ac:dyDescent="0.35">
      <c r="A135" s="14" t="s">
        <v>120</v>
      </c>
      <c r="B135" s="15">
        <v>101</v>
      </c>
      <c r="C135" s="16" t="s">
        <v>185</v>
      </c>
    </row>
    <row r="136" spans="1:3" ht="15.6" thickBot="1" x14ac:dyDescent="0.35">
      <c r="A136" s="11" t="s">
        <v>44</v>
      </c>
      <c r="B136" s="12">
        <v>99</v>
      </c>
      <c r="C136" s="13" t="s">
        <v>215</v>
      </c>
    </row>
    <row r="137" spans="1:3" ht="15.6" thickBot="1" x14ac:dyDescent="0.35">
      <c r="A137" s="14" t="s">
        <v>123</v>
      </c>
      <c r="B137" s="15">
        <v>53</v>
      </c>
      <c r="C137" s="16" t="s">
        <v>216</v>
      </c>
    </row>
    <row r="138" spans="1:3" ht="30.6" thickBot="1" x14ac:dyDescent="0.35">
      <c r="A138" s="11" t="s">
        <v>125</v>
      </c>
      <c r="B138" s="12">
        <v>8</v>
      </c>
      <c r="C138" s="13" t="s">
        <v>217</v>
      </c>
    </row>
    <row r="139" spans="1:3" ht="15.6" thickBot="1" x14ac:dyDescent="0.35">
      <c r="A139" s="14" t="s">
        <v>74</v>
      </c>
      <c r="B139" s="15">
        <v>11</v>
      </c>
      <c r="C139" s="16" t="s">
        <v>191</v>
      </c>
    </row>
    <row r="140" spans="1:3" ht="15.6" thickBot="1" x14ac:dyDescent="0.35">
      <c r="A140" s="11" t="s">
        <v>38</v>
      </c>
      <c r="B140" s="12">
        <v>123</v>
      </c>
      <c r="C140" s="13" t="s">
        <v>218</v>
      </c>
    </row>
    <row r="141" spans="1:3" ht="15" thickBot="1" x14ac:dyDescent="0.35">
      <c r="A141" s="31" t="s">
        <v>219</v>
      </c>
      <c r="B141" s="31"/>
      <c r="C141" s="31"/>
    </row>
    <row r="142" spans="1:3" ht="15.6" thickBot="1" x14ac:dyDescent="0.35">
      <c r="A142" s="14" t="s">
        <v>114</v>
      </c>
      <c r="B142" s="15">
        <v>22</v>
      </c>
      <c r="C142" s="16" t="s">
        <v>137</v>
      </c>
    </row>
    <row r="143" spans="1:3" ht="15.6" thickBot="1" x14ac:dyDescent="0.35">
      <c r="A143" s="11" t="s">
        <v>116</v>
      </c>
      <c r="B143" s="12">
        <v>16</v>
      </c>
      <c r="C143" s="13" t="s">
        <v>201</v>
      </c>
    </row>
    <row r="144" spans="1:3" ht="15.6" thickBot="1" x14ac:dyDescent="0.35">
      <c r="A144" s="14" t="s">
        <v>118</v>
      </c>
      <c r="B144" s="15">
        <v>34</v>
      </c>
      <c r="C144" s="16" t="s">
        <v>131</v>
      </c>
    </row>
    <row r="145" spans="1:3" ht="30.6" thickBot="1" x14ac:dyDescent="0.35">
      <c r="A145" s="11" t="s">
        <v>120</v>
      </c>
      <c r="B145" s="12">
        <v>29</v>
      </c>
      <c r="C145" s="13" t="s">
        <v>130</v>
      </c>
    </row>
    <row r="146" spans="1:3" ht="15.6" thickBot="1" x14ac:dyDescent="0.35">
      <c r="A146" s="14" t="s">
        <v>44</v>
      </c>
      <c r="B146" s="15">
        <v>33</v>
      </c>
      <c r="C146" s="16" t="s">
        <v>148</v>
      </c>
    </row>
    <row r="147" spans="1:3" ht="15.6" thickBot="1" x14ac:dyDescent="0.35">
      <c r="A147" s="11" t="s">
        <v>123</v>
      </c>
      <c r="B147" s="12">
        <v>23</v>
      </c>
      <c r="C147" s="13" t="s">
        <v>190</v>
      </c>
    </row>
    <row r="148" spans="1:3" ht="30.6" thickBot="1" x14ac:dyDescent="0.35">
      <c r="A148" s="14" t="s">
        <v>125</v>
      </c>
      <c r="B148" s="15">
        <v>2</v>
      </c>
      <c r="C148" s="16" t="s">
        <v>159</v>
      </c>
    </row>
    <row r="149" spans="1:3" ht="15.6" thickBot="1" x14ac:dyDescent="0.35">
      <c r="A149" s="11" t="s">
        <v>74</v>
      </c>
      <c r="B149" s="12">
        <v>12</v>
      </c>
      <c r="C149" s="13" t="s">
        <v>144</v>
      </c>
    </row>
    <row r="150" spans="1:3" ht="15.6" thickBot="1" x14ac:dyDescent="0.35">
      <c r="A150" s="14" t="s">
        <v>38</v>
      </c>
      <c r="B150" s="15">
        <v>42</v>
      </c>
      <c r="C150" s="16" t="s">
        <v>220</v>
      </c>
    </row>
    <row r="151" spans="1:3" ht="15" thickBot="1" x14ac:dyDescent="0.35">
      <c r="A151" s="31" t="s">
        <v>221</v>
      </c>
      <c r="B151" s="31"/>
      <c r="C151" s="31"/>
    </row>
    <row r="152" spans="1:3" ht="15.6" thickBot="1" x14ac:dyDescent="0.35">
      <c r="A152" s="11" t="s">
        <v>114</v>
      </c>
      <c r="B152" s="12">
        <v>37</v>
      </c>
      <c r="C152" s="13" t="s">
        <v>132</v>
      </c>
    </row>
    <row r="153" spans="1:3" ht="15.6" thickBot="1" x14ac:dyDescent="0.35">
      <c r="A153" s="14" t="s">
        <v>116</v>
      </c>
      <c r="B153" s="15">
        <v>27</v>
      </c>
      <c r="C153" s="16" t="s">
        <v>168</v>
      </c>
    </row>
    <row r="154" spans="1:3" ht="15.6" thickBot="1" x14ac:dyDescent="0.35">
      <c r="A154" s="11" t="s">
        <v>118</v>
      </c>
      <c r="B154" s="12">
        <v>31</v>
      </c>
      <c r="C154" s="13" t="s">
        <v>222</v>
      </c>
    </row>
    <row r="155" spans="1:3" ht="30.6" thickBot="1" x14ac:dyDescent="0.35">
      <c r="A155" s="14" t="s">
        <v>120</v>
      </c>
      <c r="B155" s="15">
        <v>79</v>
      </c>
      <c r="C155" s="16" t="s">
        <v>149</v>
      </c>
    </row>
    <row r="156" spans="1:3" ht="15.6" thickBot="1" x14ac:dyDescent="0.35">
      <c r="A156" s="11" t="s">
        <v>44</v>
      </c>
      <c r="B156" s="12">
        <v>34</v>
      </c>
      <c r="C156" s="13" t="s">
        <v>131</v>
      </c>
    </row>
    <row r="157" spans="1:3" ht="15.6" thickBot="1" x14ac:dyDescent="0.35">
      <c r="A157" s="14" t="s">
        <v>123</v>
      </c>
      <c r="B157" s="15">
        <v>59</v>
      </c>
      <c r="C157" s="16" t="s">
        <v>223</v>
      </c>
    </row>
    <row r="158" spans="1:3" ht="30.6" thickBot="1" x14ac:dyDescent="0.35">
      <c r="A158" s="11" t="s">
        <v>125</v>
      </c>
      <c r="B158" s="12">
        <v>8</v>
      </c>
      <c r="C158" s="13" t="s">
        <v>217</v>
      </c>
    </row>
    <row r="159" spans="1:3" ht="15.6" thickBot="1" x14ac:dyDescent="0.35">
      <c r="A159" s="14" t="s">
        <v>74</v>
      </c>
      <c r="B159" s="15">
        <v>18</v>
      </c>
      <c r="C159" s="16" t="s">
        <v>140</v>
      </c>
    </row>
    <row r="160" spans="1:3" ht="15.6" thickBot="1" x14ac:dyDescent="0.35">
      <c r="A160" s="11" t="s">
        <v>38</v>
      </c>
      <c r="B160" s="12">
        <v>94</v>
      </c>
      <c r="C160" s="13" t="s">
        <v>224</v>
      </c>
    </row>
    <row r="161" spans="1:3" ht="15" thickBot="1" x14ac:dyDescent="0.35">
      <c r="A161" s="31" t="s">
        <v>225</v>
      </c>
      <c r="B161" s="31"/>
      <c r="C161" s="31"/>
    </row>
    <row r="162" spans="1:3" ht="15.6" thickBot="1" x14ac:dyDescent="0.35">
      <c r="A162" s="14" t="s">
        <v>114</v>
      </c>
      <c r="B162" s="15">
        <v>40</v>
      </c>
      <c r="C162" s="16" t="s">
        <v>157</v>
      </c>
    </row>
    <row r="163" spans="1:3" ht="15.6" thickBot="1" x14ac:dyDescent="0.35">
      <c r="A163" s="11" t="s">
        <v>116</v>
      </c>
      <c r="B163" s="12">
        <v>37</v>
      </c>
      <c r="C163" s="13" t="s">
        <v>132</v>
      </c>
    </row>
    <row r="164" spans="1:3" ht="15.6" thickBot="1" x14ac:dyDescent="0.35">
      <c r="A164" s="14" t="s">
        <v>118</v>
      </c>
      <c r="B164" s="15">
        <v>69</v>
      </c>
      <c r="C164" s="16" t="s">
        <v>226</v>
      </c>
    </row>
    <row r="165" spans="1:3" ht="30.6" thickBot="1" x14ac:dyDescent="0.35">
      <c r="A165" s="11" t="s">
        <v>120</v>
      </c>
      <c r="B165" s="12">
        <v>121</v>
      </c>
      <c r="C165" s="13" t="s">
        <v>227</v>
      </c>
    </row>
    <row r="166" spans="1:3" ht="15.6" thickBot="1" x14ac:dyDescent="0.35">
      <c r="A166" s="14" t="s">
        <v>44</v>
      </c>
      <c r="B166" s="15">
        <v>111</v>
      </c>
      <c r="C166" s="16" t="s">
        <v>228</v>
      </c>
    </row>
    <row r="167" spans="1:3" ht="15.6" thickBot="1" x14ac:dyDescent="0.35">
      <c r="A167" s="11" t="s">
        <v>123</v>
      </c>
      <c r="B167" s="12">
        <v>76</v>
      </c>
      <c r="C167" s="13" t="s">
        <v>229</v>
      </c>
    </row>
    <row r="168" spans="1:3" ht="30.6" thickBot="1" x14ac:dyDescent="0.35">
      <c r="A168" s="14" t="s">
        <v>125</v>
      </c>
      <c r="B168" s="15">
        <v>10</v>
      </c>
      <c r="C168" s="16" t="s">
        <v>230</v>
      </c>
    </row>
    <row r="169" spans="1:3" ht="15.6" thickBot="1" x14ac:dyDescent="0.35">
      <c r="A169" s="11" t="s">
        <v>74</v>
      </c>
      <c r="B169" s="12">
        <v>37</v>
      </c>
      <c r="C169" s="13" t="s">
        <v>132</v>
      </c>
    </row>
    <row r="170" spans="1:3" ht="15.6" thickBot="1" x14ac:dyDescent="0.35">
      <c r="A170" s="14" t="s">
        <v>38</v>
      </c>
      <c r="B170" s="15">
        <v>94</v>
      </c>
      <c r="C170" s="16" t="s">
        <v>224</v>
      </c>
    </row>
    <row r="171" spans="1:3" ht="15" thickBot="1" x14ac:dyDescent="0.35">
      <c r="A171" s="31" t="s">
        <v>231</v>
      </c>
      <c r="B171" s="31"/>
      <c r="C171" s="31"/>
    </row>
    <row r="172" spans="1:3" ht="15.6" thickBot="1" x14ac:dyDescent="0.35">
      <c r="A172" s="11" t="s">
        <v>114</v>
      </c>
      <c r="B172" s="12">
        <v>48</v>
      </c>
      <c r="C172" s="13" t="s">
        <v>135</v>
      </c>
    </row>
    <row r="173" spans="1:3" ht="15.6" thickBot="1" x14ac:dyDescent="0.35">
      <c r="A173" s="14" t="s">
        <v>116</v>
      </c>
      <c r="B173" s="15">
        <v>28</v>
      </c>
      <c r="C173" s="16" t="s">
        <v>204</v>
      </c>
    </row>
    <row r="174" spans="1:3" ht="15.6" thickBot="1" x14ac:dyDescent="0.35">
      <c r="A174" s="11" t="s">
        <v>118</v>
      </c>
      <c r="B174" s="12">
        <v>20</v>
      </c>
      <c r="C174" s="13" t="s">
        <v>156</v>
      </c>
    </row>
    <row r="175" spans="1:3" ht="30.6" thickBot="1" x14ac:dyDescent="0.35">
      <c r="A175" s="14" t="s">
        <v>120</v>
      </c>
      <c r="B175" s="15">
        <v>63</v>
      </c>
      <c r="C175" s="16" t="s">
        <v>151</v>
      </c>
    </row>
    <row r="176" spans="1:3" ht="15.6" thickBot="1" x14ac:dyDescent="0.35">
      <c r="A176" s="11" t="s">
        <v>44</v>
      </c>
      <c r="B176" s="12">
        <v>29</v>
      </c>
      <c r="C176" s="13" t="s">
        <v>130</v>
      </c>
    </row>
    <row r="177" spans="1:3" ht="15.6" thickBot="1" x14ac:dyDescent="0.35">
      <c r="A177" s="14" t="s">
        <v>123</v>
      </c>
      <c r="B177" s="15">
        <v>23</v>
      </c>
      <c r="C177" s="16" t="s">
        <v>190</v>
      </c>
    </row>
    <row r="178" spans="1:3" ht="30.6" thickBot="1" x14ac:dyDescent="0.35">
      <c r="A178" s="11" t="s">
        <v>125</v>
      </c>
      <c r="B178" s="12">
        <v>1</v>
      </c>
      <c r="C178" s="13" t="s">
        <v>207</v>
      </c>
    </row>
    <row r="179" spans="1:3" ht="15.6" thickBot="1" x14ac:dyDescent="0.35">
      <c r="A179" s="14" t="s">
        <v>74</v>
      </c>
      <c r="B179" s="15">
        <v>20</v>
      </c>
      <c r="C179" s="16" t="s">
        <v>156</v>
      </c>
    </row>
    <row r="180" spans="1:3" ht="15.6" thickBot="1" x14ac:dyDescent="0.35">
      <c r="A180" s="11" t="s">
        <v>38</v>
      </c>
      <c r="B180" s="12">
        <v>70</v>
      </c>
      <c r="C180" s="13" t="s">
        <v>189</v>
      </c>
    </row>
    <row r="181" spans="1:3" ht="15" thickBot="1" x14ac:dyDescent="0.35">
      <c r="A181" s="31" t="s">
        <v>232</v>
      </c>
      <c r="B181" s="31"/>
      <c r="C181" s="31"/>
    </row>
    <row r="182" spans="1:3" ht="15.6" thickBot="1" x14ac:dyDescent="0.35">
      <c r="A182" s="14" t="s">
        <v>114</v>
      </c>
      <c r="B182" s="15">
        <v>24</v>
      </c>
      <c r="C182" s="16" t="s">
        <v>153</v>
      </c>
    </row>
    <row r="183" spans="1:3" ht="15.6" thickBot="1" x14ac:dyDescent="0.35">
      <c r="A183" s="11" t="s">
        <v>116</v>
      </c>
      <c r="B183" s="12">
        <v>17</v>
      </c>
      <c r="C183" s="13" t="s">
        <v>200</v>
      </c>
    </row>
    <row r="184" spans="1:3" ht="15.6" thickBot="1" x14ac:dyDescent="0.35">
      <c r="A184" s="14" t="s">
        <v>118</v>
      </c>
      <c r="B184" s="15">
        <v>29</v>
      </c>
      <c r="C184" s="16" t="s">
        <v>130</v>
      </c>
    </row>
    <row r="185" spans="1:3" ht="30.6" thickBot="1" x14ac:dyDescent="0.35">
      <c r="A185" s="11" t="s">
        <v>120</v>
      </c>
      <c r="B185" s="12">
        <v>56</v>
      </c>
      <c r="C185" s="13" t="s">
        <v>233</v>
      </c>
    </row>
    <row r="186" spans="1:3" ht="15.6" thickBot="1" x14ac:dyDescent="0.35">
      <c r="A186" s="14" t="s">
        <v>44</v>
      </c>
      <c r="B186" s="15">
        <v>48</v>
      </c>
      <c r="C186" s="16" t="s">
        <v>135</v>
      </c>
    </row>
    <row r="187" spans="1:3" ht="15.6" thickBot="1" x14ac:dyDescent="0.35">
      <c r="A187" s="11" t="s">
        <v>123</v>
      </c>
      <c r="B187" s="12">
        <v>17</v>
      </c>
      <c r="C187" s="13" t="s">
        <v>200</v>
      </c>
    </row>
    <row r="188" spans="1:3" ht="30.6" thickBot="1" x14ac:dyDescent="0.35">
      <c r="A188" s="14" t="s">
        <v>125</v>
      </c>
      <c r="B188" s="15">
        <v>4</v>
      </c>
      <c r="C188" s="16" t="s">
        <v>234</v>
      </c>
    </row>
    <row r="189" spans="1:3" ht="15.6" thickBot="1" x14ac:dyDescent="0.35">
      <c r="A189" s="11" t="s">
        <v>74</v>
      </c>
      <c r="B189" s="12">
        <v>13</v>
      </c>
      <c r="C189" s="13" t="s">
        <v>197</v>
      </c>
    </row>
    <row r="190" spans="1:3" ht="15.6" thickBot="1" x14ac:dyDescent="0.35">
      <c r="A190" s="14" t="s">
        <v>38</v>
      </c>
      <c r="B190" s="15">
        <v>51</v>
      </c>
      <c r="C190" s="16" t="s">
        <v>143</v>
      </c>
    </row>
    <row r="191" spans="1:3" ht="15" thickBot="1" x14ac:dyDescent="0.35">
      <c r="A191" s="31" t="s">
        <v>235</v>
      </c>
      <c r="B191" s="31"/>
      <c r="C191" s="31"/>
    </row>
    <row r="192" spans="1:3" ht="15.6" thickBot="1" x14ac:dyDescent="0.35">
      <c r="A192" s="11" t="s">
        <v>114</v>
      </c>
      <c r="B192" s="12">
        <v>24</v>
      </c>
      <c r="C192" s="13" t="s">
        <v>153</v>
      </c>
    </row>
    <row r="193" spans="1:3" ht="15.6" thickBot="1" x14ac:dyDescent="0.35">
      <c r="A193" s="14" t="s">
        <v>116</v>
      </c>
      <c r="B193" s="15">
        <v>23</v>
      </c>
      <c r="C193" s="16" t="s">
        <v>190</v>
      </c>
    </row>
    <row r="194" spans="1:3" ht="15.6" thickBot="1" x14ac:dyDescent="0.35">
      <c r="A194" s="11" t="s">
        <v>118</v>
      </c>
      <c r="B194" s="12">
        <v>29</v>
      </c>
      <c r="C194" s="13" t="s">
        <v>130</v>
      </c>
    </row>
    <row r="195" spans="1:3" ht="30.6" thickBot="1" x14ac:dyDescent="0.35">
      <c r="A195" s="14" t="s">
        <v>120</v>
      </c>
      <c r="B195" s="15">
        <v>59</v>
      </c>
      <c r="C195" s="16" t="s">
        <v>223</v>
      </c>
    </row>
    <row r="196" spans="1:3" ht="15.6" thickBot="1" x14ac:dyDescent="0.35">
      <c r="A196" s="11" t="s">
        <v>44</v>
      </c>
      <c r="B196" s="12">
        <v>48</v>
      </c>
      <c r="C196" s="13" t="s">
        <v>135</v>
      </c>
    </row>
    <row r="197" spans="1:3" ht="15.6" thickBot="1" x14ac:dyDescent="0.35">
      <c r="A197" s="14" t="s">
        <v>123</v>
      </c>
      <c r="B197" s="15">
        <v>17</v>
      </c>
      <c r="C197" s="16" t="s">
        <v>200</v>
      </c>
    </row>
    <row r="198" spans="1:3" ht="30.6" thickBot="1" x14ac:dyDescent="0.35">
      <c r="A198" s="11" t="s">
        <v>125</v>
      </c>
      <c r="B198" s="12">
        <v>7</v>
      </c>
      <c r="C198" s="13" t="s">
        <v>202</v>
      </c>
    </row>
    <row r="199" spans="1:3" ht="15.6" thickBot="1" x14ac:dyDescent="0.35">
      <c r="A199" s="14" t="s">
        <v>74</v>
      </c>
      <c r="B199" s="15">
        <v>18</v>
      </c>
      <c r="C199" s="16" t="s">
        <v>140</v>
      </c>
    </row>
    <row r="200" spans="1:3" ht="15.6" thickBot="1" x14ac:dyDescent="0.35">
      <c r="A200" s="11" t="s">
        <v>38</v>
      </c>
      <c r="B200" s="12">
        <v>30</v>
      </c>
      <c r="C200" s="13" t="s">
        <v>181</v>
      </c>
    </row>
    <row r="201" spans="1:3" ht="15" thickBot="1" x14ac:dyDescent="0.35">
      <c r="A201" s="31" t="s">
        <v>236</v>
      </c>
      <c r="B201" s="31"/>
      <c r="C201" s="31"/>
    </row>
    <row r="202" spans="1:3" ht="15.6" thickBot="1" x14ac:dyDescent="0.35">
      <c r="A202" s="14" t="s">
        <v>114</v>
      </c>
      <c r="B202" s="15">
        <v>172</v>
      </c>
      <c r="C202" s="16" t="s">
        <v>237</v>
      </c>
    </row>
    <row r="203" spans="1:3" ht="15.6" thickBot="1" x14ac:dyDescent="0.35">
      <c r="A203" s="11" t="s">
        <v>116</v>
      </c>
      <c r="B203" s="12">
        <v>43</v>
      </c>
      <c r="C203" s="13" t="s">
        <v>158</v>
      </c>
    </row>
    <row r="204" spans="1:3" ht="15.6" thickBot="1" x14ac:dyDescent="0.35">
      <c r="A204" s="14" t="s">
        <v>118</v>
      </c>
      <c r="B204" s="15">
        <v>133</v>
      </c>
      <c r="C204" s="16" t="s">
        <v>238</v>
      </c>
    </row>
    <row r="205" spans="1:3" ht="30.6" thickBot="1" x14ac:dyDescent="0.35">
      <c r="A205" s="11" t="s">
        <v>120</v>
      </c>
      <c r="B205" s="12">
        <v>223</v>
      </c>
      <c r="C205" s="13" t="s">
        <v>239</v>
      </c>
    </row>
    <row r="206" spans="1:3" ht="15.6" thickBot="1" x14ac:dyDescent="0.35">
      <c r="A206" s="14" t="s">
        <v>44</v>
      </c>
      <c r="B206" s="15">
        <v>213</v>
      </c>
      <c r="C206" s="16" t="s">
        <v>117</v>
      </c>
    </row>
    <row r="207" spans="1:3" ht="15.6" thickBot="1" x14ac:dyDescent="0.35">
      <c r="A207" s="11" t="s">
        <v>123</v>
      </c>
      <c r="B207" s="12">
        <v>163</v>
      </c>
      <c r="C207" s="13" t="s">
        <v>240</v>
      </c>
    </row>
    <row r="208" spans="1:3" ht="30.6" thickBot="1" x14ac:dyDescent="0.35">
      <c r="A208" s="14" t="s">
        <v>125</v>
      </c>
      <c r="B208" s="15">
        <v>16</v>
      </c>
      <c r="C208" s="16" t="s">
        <v>201</v>
      </c>
    </row>
    <row r="209" spans="1:3" ht="15.6" thickBot="1" x14ac:dyDescent="0.35">
      <c r="A209" s="11" t="s">
        <v>74</v>
      </c>
      <c r="B209" s="12">
        <v>91</v>
      </c>
      <c r="C209" s="13" t="s">
        <v>180</v>
      </c>
    </row>
    <row r="210" spans="1:3" ht="15.6" thickBot="1" x14ac:dyDescent="0.35">
      <c r="A210" s="14" t="s">
        <v>38</v>
      </c>
      <c r="B210" s="15">
        <v>286</v>
      </c>
      <c r="C210" s="16" t="s">
        <v>241</v>
      </c>
    </row>
    <row r="211" spans="1:3" ht="15" thickBot="1" x14ac:dyDescent="0.35">
      <c r="A211" s="31" t="s">
        <v>242</v>
      </c>
      <c r="B211" s="31"/>
      <c r="C211" s="31"/>
    </row>
    <row r="212" spans="1:3" ht="15.6" thickBot="1" x14ac:dyDescent="0.35">
      <c r="A212" s="11" t="s">
        <v>114</v>
      </c>
      <c r="B212" s="12">
        <v>18</v>
      </c>
      <c r="C212" s="13" t="s">
        <v>140</v>
      </c>
    </row>
    <row r="213" spans="1:3" ht="15.6" thickBot="1" x14ac:dyDescent="0.35">
      <c r="A213" s="14" t="s">
        <v>116</v>
      </c>
      <c r="B213" s="15">
        <v>19</v>
      </c>
      <c r="C213" s="16" t="s">
        <v>243</v>
      </c>
    </row>
    <row r="214" spans="1:3" ht="15.6" thickBot="1" x14ac:dyDescent="0.35">
      <c r="A214" s="11" t="s">
        <v>118</v>
      </c>
      <c r="B214" s="12">
        <v>24</v>
      </c>
      <c r="C214" s="13" t="s">
        <v>153</v>
      </c>
    </row>
    <row r="215" spans="1:3" ht="30.6" thickBot="1" x14ac:dyDescent="0.35">
      <c r="A215" s="14" t="s">
        <v>120</v>
      </c>
      <c r="B215" s="15">
        <v>36</v>
      </c>
      <c r="C215" s="16" t="s">
        <v>244</v>
      </c>
    </row>
    <row r="216" spans="1:3" ht="15.6" thickBot="1" x14ac:dyDescent="0.35">
      <c r="A216" s="11" t="s">
        <v>44</v>
      </c>
      <c r="B216" s="12">
        <v>36</v>
      </c>
      <c r="C216" s="13" t="s">
        <v>244</v>
      </c>
    </row>
    <row r="217" spans="1:3" ht="15.6" thickBot="1" x14ac:dyDescent="0.35">
      <c r="A217" s="14" t="s">
        <v>123</v>
      </c>
      <c r="B217" s="15">
        <v>7</v>
      </c>
      <c r="C217" s="16" t="s">
        <v>202</v>
      </c>
    </row>
    <row r="218" spans="1:3" ht="30.6" thickBot="1" x14ac:dyDescent="0.35">
      <c r="A218" s="11" t="s">
        <v>125</v>
      </c>
      <c r="B218" s="12">
        <v>3</v>
      </c>
      <c r="C218" s="13" t="s">
        <v>136</v>
      </c>
    </row>
    <row r="219" spans="1:3" ht="15.6" thickBot="1" x14ac:dyDescent="0.35">
      <c r="A219" s="14" t="s">
        <v>74</v>
      </c>
      <c r="B219" s="15">
        <v>11</v>
      </c>
      <c r="C219" s="16" t="s">
        <v>191</v>
      </c>
    </row>
    <row r="220" spans="1:3" ht="15.6" thickBot="1" x14ac:dyDescent="0.35">
      <c r="A220" s="11" t="s">
        <v>38</v>
      </c>
      <c r="B220" s="12">
        <v>44</v>
      </c>
      <c r="C220" s="13" t="s">
        <v>245</v>
      </c>
    </row>
    <row r="221" spans="1:3" ht="15" thickBot="1" x14ac:dyDescent="0.35">
      <c r="A221" s="31" t="s">
        <v>246</v>
      </c>
      <c r="B221" s="31"/>
      <c r="C221" s="31"/>
    </row>
    <row r="222" spans="1:3" ht="15.6" thickBot="1" x14ac:dyDescent="0.35">
      <c r="A222" s="14" t="s">
        <v>114</v>
      </c>
      <c r="B222" s="15">
        <v>10</v>
      </c>
      <c r="C222" s="16" t="s">
        <v>230</v>
      </c>
    </row>
    <row r="223" spans="1:3" ht="15.6" thickBot="1" x14ac:dyDescent="0.35">
      <c r="A223" s="11" t="s">
        <v>116</v>
      </c>
      <c r="B223" s="12">
        <v>9</v>
      </c>
      <c r="C223" s="13" t="s">
        <v>160</v>
      </c>
    </row>
    <row r="224" spans="1:3" ht="15.6" thickBot="1" x14ac:dyDescent="0.35">
      <c r="A224" s="14" t="s">
        <v>118</v>
      </c>
      <c r="B224" s="15">
        <v>5</v>
      </c>
      <c r="C224" s="16" t="s">
        <v>247</v>
      </c>
    </row>
    <row r="225" spans="1:3" ht="30.6" thickBot="1" x14ac:dyDescent="0.35">
      <c r="A225" s="11" t="s">
        <v>120</v>
      </c>
      <c r="B225" s="12">
        <v>20</v>
      </c>
      <c r="C225" s="13" t="s">
        <v>156</v>
      </c>
    </row>
    <row r="226" spans="1:3" ht="15.6" thickBot="1" x14ac:dyDescent="0.35">
      <c r="A226" s="14" t="s">
        <v>44</v>
      </c>
      <c r="B226" s="15">
        <v>8</v>
      </c>
      <c r="C226" s="16" t="s">
        <v>217</v>
      </c>
    </row>
    <row r="227" spans="1:3" ht="15.6" thickBot="1" x14ac:dyDescent="0.35">
      <c r="A227" s="11" t="s">
        <v>123</v>
      </c>
      <c r="B227" s="12">
        <v>8</v>
      </c>
      <c r="C227" s="13" t="s">
        <v>217</v>
      </c>
    </row>
    <row r="228" spans="1:3" ht="15.6" thickBot="1" x14ac:dyDescent="0.35">
      <c r="A228" s="14" t="s">
        <v>74</v>
      </c>
      <c r="B228" s="15">
        <v>1</v>
      </c>
      <c r="C228" s="16" t="s">
        <v>207</v>
      </c>
    </row>
    <row r="229" spans="1:3" ht="15.6" thickBot="1" x14ac:dyDescent="0.35">
      <c r="A229" s="11" t="s">
        <v>38</v>
      </c>
      <c r="B229" s="12">
        <v>15</v>
      </c>
      <c r="C229" s="13" t="s">
        <v>152</v>
      </c>
    </row>
    <row r="230" spans="1:3" ht="15" thickBot="1" x14ac:dyDescent="0.35">
      <c r="A230" s="31" t="s">
        <v>248</v>
      </c>
      <c r="B230" s="31"/>
      <c r="C230" s="31"/>
    </row>
    <row r="231" spans="1:3" ht="15.6" thickBot="1" x14ac:dyDescent="0.35">
      <c r="A231" s="14" t="s">
        <v>114</v>
      </c>
      <c r="B231" s="15">
        <v>65</v>
      </c>
      <c r="C231" s="16" t="s">
        <v>196</v>
      </c>
    </row>
    <row r="232" spans="1:3" ht="15.6" thickBot="1" x14ac:dyDescent="0.35">
      <c r="A232" s="11" t="s">
        <v>116</v>
      </c>
      <c r="B232" s="12">
        <v>47</v>
      </c>
      <c r="C232" s="13" t="s">
        <v>249</v>
      </c>
    </row>
    <row r="233" spans="1:3" ht="15.6" thickBot="1" x14ac:dyDescent="0.35">
      <c r="A233" s="14" t="s">
        <v>118</v>
      </c>
      <c r="B233" s="15">
        <v>61</v>
      </c>
      <c r="C233" s="16" t="s">
        <v>214</v>
      </c>
    </row>
    <row r="234" spans="1:3" ht="30.6" thickBot="1" x14ac:dyDescent="0.35">
      <c r="A234" s="11" t="s">
        <v>120</v>
      </c>
      <c r="B234" s="12">
        <v>94</v>
      </c>
      <c r="C234" s="13" t="s">
        <v>224</v>
      </c>
    </row>
    <row r="235" spans="1:3" ht="15.6" thickBot="1" x14ac:dyDescent="0.35">
      <c r="A235" s="14" t="s">
        <v>44</v>
      </c>
      <c r="B235" s="15">
        <v>65</v>
      </c>
      <c r="C235" s="16" t="s">
        <v>196</v>
      </c>
    </row>
    <row r="236" spans="1:3" ht="15.6" thickBot="1" x14ac:dyDescent="0.35">
      <c r="A236" s="11" t="s">
        <v>123</v>
      </c>
      <c r="B236" s="12">
        <v>65</v>
      </c>
      <c r="C236" s="13" t="s">
        <v>196</v>
      </c>
    </row>
    <row r="237" spans="1:3" ht="30.6" thickBot="1" x14ac:dyDescent="0.35">
      <c r="A237" s="14" t="s">
        <v>125</v>
      </c>
      <c r="B237" s="15">
        <v>5</v>
      </c>
      <c r="C237" s="16" t="s">
        <v>247</v>
      </c>
    </row>
    <row r="238" spans="1:3" ht="15.6" thickBot="1" x14ac:dyDescent="0.35">
      <c r="A238" s="11" t="s">
        <v>74</v>
      </c>
      <c r="B238" s="12">
        <v>7</v>
      </c>
      <c r="C238" s="13" t="s">
        <v>202</v>
      </c>
    </row>
    <row r="239" spans="1:3" ht="15.6" thickBot="1" x14ac:dyDescent="0.35">
      <c r="A239" s="19" t="s">
        <v>38</v>
      </c>
      <c r="B239" s="20">
        <v>91</v>
      </c>
      <c r="C239" s="21" t="s">
        <v>180</v>
      </c>
    </row>
  </sheetData>
  <mergeCells count="24">
    <mergeCell ref="A230:C230"/>
    <mergeCell ref="A121:C121"/>
    <mergeCell ref="A131:C131"/>
    <mergeCell ref="A141:C141"/>
    <mergeCell ref="A151:C151"/>
    <mergeCell ref="A161:C161"/>
    <mergeCell ref="A171:C171"/>
    <mergeCell ref="A181:C181"/>
    <mergeCell ref="A191:C191"/>
    <mergeCell ref="A201:C201"/>
    <mergeCell ref="A211:C211"/>
    <mergeCell ref="A221:C221"/>
    <mergeCell ref="A111:C111"/>
    <mergeCell ref="A2:C2"/>
    <mergeCell ref="A12:C12"/>
    <mergeCell ref="A22:C22"/>
    <mergeCell ref="A32:C32"/>
    <mergeCell ref="A42:C42"/>
    <mergeCell ref="A52:C52"/>
    <mergeCell ref="A62:C62"/>
    <mergeCell ref="A72:C72"/>
    <mergeCell ref="A82:C82"/>
    <mergeCell ref="A91:C91"/>
    <mergeCell ref="A101:C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Aguirre</dc:creator>
  <cp:lastModifiedBy>Valeria Aguirre</cp:lastModifiedBy>
  <dcterms:created xsi:type="dcterms:W3CDTF">2024-02-14T18:12:58Z</dcterms:created>
  <dcterms:modified xsi:type="dcterms:W3CDTF">2024-02-14T21:05:00Z</dcterms:modified>
</cp:coreProperties>
</file>